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 DATA" sheetId="1" r:id="rId5"/>
    <sheet state="visible" name="COULD NOT FIND" sheetId="2" r:id="rId6"/>
    <sheet state="visible" name="XDataImport" sheetId="3" r:id="rId7"/>
    <sheet state="visible" name="XDataImport - EXAMS &amp; HW ONLY" sheetId="4" r:id="rId8"/>
    <sheet state="visible" name="XDataImport - EXAMS (COMBINED) " sheetId="5" r:id="rId9"/>
    <sheet state="visible" name="XDataImport - NO QUIZ OR MISC" sheetId="6" r:id="rId10"/>
    <sheet state="visible" name="XDataImport - WEIGHTS ONLY" sheetId="7" r:id="rId11"/>
    <sheet state="visible" name="YDataImport - DISTRIBUTION" sheetId="8" r:id="rId12"/>
    <sheet state="visible" name="YDataImport - PASSFAIL" sheetId="9" r:id="rId13"/>
    <sheet state="visible" name="YDataImport - PASSFAIL - INDEPT" sheetId="10" r:id="rId14"/>
    <sheet state="visible" name="YDataImport - GRADERANK" sheetId="11" r:id="rId15"/>
    <sheet state="visible" name="FOUND DATA - AVERAGE GRADES" sheetId="12" r:id="rId16"/>
    <sheet state="visible" name="XDataImport - AVERAGE GRADES" sheetId="13" r:id="rId17"/>
    <sheet state="visible" name="YDataImport - AVERAGE GRADES" sheetId="14" r:id="rId18"/>
    <sheet state="visible" name="RANDOM SEED COMPARISONS" sheetId="15" r:id="rId19"/>
    <sheet state="visible" name="RANDOM SEED COMPARISONS - MODEL" sheetId="16" r:id="rId20"/>
  </sheets>
  <definedNames/>
  <calcPr/>
</workbook>
</file>

<file path=xl/sharedStrings.xml><?xml version="1.0" encoding="utf-8"?>
<sst xmlns="http://schemas.openxmlformats.org/spreadsheetml/2006/main" count="468" uniqueCount="201">
  <si>
    <r>
      <rPr>
        <rFont val="Arial"/>
        <color theme="1"/>
        <sz val="14.0"/>
      </rPr>
      <t xml:space="preserve">IF YOU HAVE A COURSE THAT YOU </t>
    </r>
    <r>
      <rPr>
        <rFont val="Arial"/>
        <b/>
        <color theme="1"/>
        <sz val="14.0"/>
      </rPr>
      <t>CAN NOT FIND THE SYLLABUS</t>
    </r>
    <r>
      <rPr>
        <rFont val="Arial"/>
        <color theme="1"/>
        <sz val="14.0"/>
      </rPr>
      <t xml:space="preserve"> FOR, PLEASE ADD IT TO THE OTHER SHEET</t>
    </r>
  </si>
  <si>
    <t>BLUE - UD</t>
  </si>
  <si>
    <t>ORANGE - UT</t>
  </si>
  <si>
    <t>RED - UWM</t>
  </si>
  <si>
    <t>FEATURES</t>
  </si>
  <si>
    <t>OUTPUTS (% Of Students in Each Bucket)</t>
  </si>
  <si>
    <t>PASS FAIL</t>
  </si>
  <si>
    <t>PASS (IN DEPTH)</t>
  </si>
  <si>
    <t>RANKING (1 = Least students, 5 = Most students)</t>
  </si>
  <si>
    <t>Course Code</t>
  </si>
  <si>
    <t># HWs</t>
  </si>
  <si>
    <t>HW Weight</t>
  </si>
  <si>
    <t># Project Assignments</t>
  </si>
  <si>
    <t>Project Weight</t>
  </si>
  <si>
    <t># Final exam</t>
  </si>
  <si>
    <t>Final Weight</t>
  </si>
  <si>
    <t># Other Exams</t>
  </si>
  <si>
    <t>Exam Weight</t>
  </si>
  <si>
    <t># Quizzes</t>
  </si>
  <si>
    <t>Quiz Weight</t>
  </si>
  <si>
    <t>Attend/Misc Weight</t>
  </si>
  <si>
    <t>TOTAL SUM (CHECK THAT IT'S 1)</t>
  </si>
  <si>
    <t>Class F</t>
  </si>
  <si>
    <t>Class D</t>
  </si>
  <si>
    <t>Class C</t>
  </si>
  <si>
    <t>Class B</t>
  </si>
  <si>
    <t>Class A</t>
  </si>
  <si>
    <t>TOTAL SUM % (CHECK THAT IT'S 100%)</t>
  </si>
  <si>
    <t>% FAIL</t>
  </si>
  <si>
    <t>% PASS</t>
  </si>
  <si>
    <t>SUM (CHECK)</t>
  </si>
  <si>
    <t>FAIL (D,F)</t>
  </si>
  <si>
    <t>CLOSE PASS (C)</t>
  </si>
  <si>
    <t>CLEAR PASS (A,B)</t>
  </si>
  <si>
    <t>F</t>
  </si>
  <si>
    <t>D</t>
  </si>
  <si>
    <t>C</t>
  </si>
  <si>
    <t>B</t>
  </si>
  <si>
    <t>A</t>
  </si>
  <si>
    <t>UD Class 1</t>
  </si>
  <si>
    <t>UD Class 2</t>
  </si>
  <si>
    <t>UD Class 3</t>
  </si>
  <si>
    <t>UD Class 4</t>
  </si>
  <si>
    <t>UD Class 5</t>
  </si>
  <si>
    <t>UD Class 6</t>
  </si>
  <si>
    <t>UD Class 7</t>
  </si>
  <si>
    <t>UD Class 8</t>
  </si>
  <si>
    <t>UD Class 9</t>
  </si>
  <si>
    <t>UD Class 10</t>
  </si>
  <si>
    <t>UD Class 11</t>
  </si>
  <si>
    <t>UD Class 12</t>
  </si>
  <si>
    <t>UD Class 13</t>
  </si>
  <si>
    <t>UD Class 14</t>
  </si>
  <si>
    <t>UD Class 15</t>
  </si>
  <si>
    <t>UD Class 16</t>
  </si>
  <si>
    <t>UD Class 17</t>
  </si>
  <si>
    <t>ME266K - 2014 Fall</t>
  </si>
  <si>
    <t>ME374F - 2014 Fall</t>
  </si>
  <si>
    <t>ME279M - 2014 Fall</t>
  </si>
  <si>
    <t>ME326 - 2014 Fall</t>
  </si>
  <si>
    <t>ME359 - 2014 Fall</t>
  </si>
  <si>
    <t>ME359 - 2015 Spring</t>
  </si>
  <si>
    <t>ME330 - 2015 Spring - SCHNEIDER</t>
  </si>
  <si>
    <t>ME340 - 2015 Spring</t>
  </si>
  <si>
    <t>ME338 - 2015 Spring</t>
  </si>
  <si>
    <t>CHE210 - 2018 Spring</t>
  </si>
  <si>
    <t>CHE319 - 2018 Spring</t>
  </si>
  <si>
    <t>CHE360 - 2018 Spring - M. BALDEA</t>
  </si>
  <si>
    <t>CHE360 - 2018 Spring - T. EDISON</t>
  </si>
  <si>
    <t>CE341 - 16S - M. KIRISITS</t>
  </si>
  <si>
    <t>CE329 - 16S</t>
  </si>
  <si>
    <t>COE347 - 18S Bisetti Sec 12875</t>
  </si>
  <si>
    <t>COE311K - 23F - Loveland Sec 15065</t>
  </si>
  <si>
    <t>COE322 - 23F</t>
  </si>
  <si>
    <t>CS303 - 22F - 001</t>
  </si>
  <si>
    <t>CS303 - 22F - 002</t>
  </si>
  <si>
    <t>CS303 - 22F - 003</t>
  </si>
  <si>
    <t>CS314 HONORS - 22F</t>
  </si>
  <si>
    <t>CS314 HONORS - 23F</t>
  </si>
  <si>
    <t>CS314 - 23F</t>
  </si>
  <si>
    <t>ECE381V - 21F Wang Sec 17035</t>
  </si>
  <si>
    <t>ECE381V - 21F Harwath Sec 17055</t>
  </si>
  <si>
    <t>ECE382N - 21 F Swartzlander Sec 17115</t>
  </si>
  <si>
    <t>ECE313 - 23F - A. MOKHTARI</t>
  </si>
  <si>
    <t>ECE313 - 23F - A. CUEVAS</t>
  </si>
  <si>
    <t>ME338 - 14F</t>
  </si>
  <si>
    <t>ME344 - 16S</t>
  </si>
  <si>
    <t>ME374C - 16S Combustion Engine Processes</t>
  </si>
  <si>
    <t>ME334 - 16S - Y. ZHENG</t>
  </si>
  <si>
    <t>ME354 - 16S</t>
  </si>
  <si>
    <t>ME344 - 16S - Chen Sec 18080/18085</t>
  </si>
  <si>
    <t>ME344 - 16S - Moon Sec 18075</t>
  </si>
  <si>
    <t>ME330 - 16F</t>
  </si>
  <si>
    <t>ME339 - 16F - Vaibhav Bahadur</t>
  </si>
  <si>
    <t>ME339 - 16F - Alex Heltzel</t>
  </si>
  <si>
    <t>ME340 - 16F - Wei Li</t>
  </si>
  <si>
    <t>ME353 - 17F - Sec. 18220</t>
  </si>
  <si>
    <t>ME353 - 17F - Sec. 18225</t>
  </si>
  <si>
    <t xml:space="preserve">ME343 - 17F </t>
  </si>
  <si>
    <t>ME310T - 18S Sec 16755</t>
  </si>
  <si>
    <t>ME314D - 18S Sagers Sec 16780/85/90/95</t>
  </si>
  <si>
    <t>ME314D - 18S Tao Sec 16760/65/70/75</t>
  </si>
  <si>
    <t>ME316T - 18S Hall Sec 16805/10/15/20</t>
  </si>
  <si>
    <t>ME359 - 18F Bourell Sec 18340</t>
  </si>
  <si>
    <t>ME344 - 18F Moon Sec 18215/20</t>
  </si>
  <si>
    <t>ME344 - 18F Haberman 18225</t>
  </si>
  <si>
    <t>ME335 - 18F</t>
  </si>
  <si>
    <t>ME310T - 19S Matthews Sec 17420</t>
  </si>
  <si>
    <t>ME314D - 19S Sagers Sec 17445/50/55</t>
  </si>
  <si>
    <t>ME316T - 19S Hall Sec 17485/80/75/70</t>
  </si>
  <si>
    <t>ME318M - 19S Bryant Sec 17490/500/10/15/20/25</t>
  </si>
  <si>
    <t>ME330 - 19S Bahadur Sec 17575</t>
  </si>
  <si>
    <t>ME335 - 19S Bickel Sec 17795/90/85/80/75/70</t>
  </si>
  <si>
    <t>ME318M - 19S Langsfeld Sec 17590/85/80/75</t>
  </si>
  <si>
    <t>ME310T - 20S</t>
  </si>
  <si>
    <t>ME340 - 22F - ALAMBEIGI</t>
  </si>
  <si>
    <t>ME240 - 22F - W. LI</t>
  </si>
  <si>
    <t>ME333T - 22F</t>
  </si>
  <si>
    <t>ME338 - 22F</t>
  </si>
  <si>
    <t>ME369P - 22F</t>
  </si>
  <si>
    <t>ME359 - 22F</t>
  </si>
  <si>
    <t>ME379M - 22F - IYOOB</t>
  </si>
  <si>
    <t>ME379M - 22F</t>
  </si>
  <si>
    <t>ME367S - 22S</t>
  </si>
  <si>
    <t>ME334 - 23 Summer</t>
  </si>
  <si>
    <t>ME353 - 23F</t>
  </si>
  <si>
    <t>ECE461S - 23F</t>
  </si>
  <si>
    <t>ECE361N - 23F</t>
  </si>
  <si>
    <t>ME350R - 23F</t>
  </si>
  <si>
    <t>ME310T - 24S</t>
  </si>
  <si>
    <t>ME330 - 24S</t>
  </si>
  <si>
    <t>ME337G - 24S</t>
  </si>
  <si>
    <t>ME339 - 24S - LI SHI</t>
  </si>
  <si>
    <t>ME353 - 24S</t>
  </si>
  <si>
    <t>ME350R - 24S</t>
  </si>
  <si>
    <t>EE351K - 16F - : Gustavo de Veciana</t>
  </si>
  <si>
    <t>EE360C - 16F - Nikolova, Evdokia</t>
  </si>
  <si>
    <t>EE360C - 16F - Soloveichik, David</t>
  </si>
  <si>
    <t>ME 240 - F17 Dynamics</t>
  </si>
  <si>
    <t>ME 361 - F17 Thermodynamics - 001</t>
  </si>
  <si>
    <t>ME 361 - F17 Thermodynamics - 002</t>
  </si>
  <si>
    <t>ME 361 - F17 Thermodynamics - 003</t>
  </si>
  <si>
    <t>END</t>
  </si>
  <si>
    <t>UWM &amp; UT LINKS:</t>
  </si>
  <si>
    <t>https://registrar.wisc.edu/grade-reports/?utm_source=chatgpt.com</t>
  </si>
  <si>
    <t>https://reports.utexas.edu/spotlight-data/ut-course-grade-distributions</t>
  </si>
  <si>
    <t>SYLLABUS FINDER FOR UTEXAS</t>
  </si>
  <si>
    <t>https://utdirect.utexas.edu/apps/student/coursedocs/nlogon/?year=2016&amp;semester=2&amp;department=M+E&amp;course_number=&amp;course_title=Dynamics&amp;unique=&amp;instructor_first=&amp;instructor_last=&amp;course_type=In+Residence&amp;search=Search</t>
  </si>
  <si>
    <t>REASON</t>
  </si>
  <si>
    <t xml:space="preserve">M E-302 </t>
  </si>
  <si>
    <t>ME353 - Found, but grading scheme very weird</t>
  </si>
  <si>
    <t>ME354 - could use this one, but it is a lab and has labs (could count them as HWs)</t>
  </si>
  <si>
    <t>ME386P - 19S Mangolini Sec 18345</t>
  </si>
  <si>
    <t>some ME330 - did not have number of hw/quiz</t>
  </si>
  <si>
    <t>ECE/ME 739 -S15- Intro to robotics</t>
  </si>
  <si>
    <r>
      <rPr>
        <rFont val="Arial"/>
        <color theme="1"/>
        <sz val="14.0"/>
      </rPr>
      <t xml:space="preserve">IF YOU HAVE A COURSE THAT YOU </t>
    </r>
    <r>
      <rPr>
        <rFont val="Arial"/>
        <b/>
        <color theme="1"/>
        <sz val="14.0"/>
      </rPr>
      <t>CAN NOT FIND THE SYLLABUS</t>
    </r>
    <r>
      <rPr>
        <rFont val="Arial"/>
        <color theme="1"/>
        <sz val="14.0"/>
      </rPr>
      <t xml:space="preserve"> FOR, PLEASE ADD IT TO THE OTHER SHEET</t>
    </r>
  </si>
  <si>
    <t>"Average Grade"</t>
  </si>
  <si>
    <t>*the average grade in the class is estimated by assuming A to be a 95, B is an 85, C is 75, D is a 65, and F is a 30</t>
  </si>
  <si>
    <t>EGGG101 - Intro Engineering</t>
  </si>
  <si>
    <t>MEEG332 - 18S - Fluids 2</t>
  </si>
  <si>
    <t>MEEG332 - 17S - Fluids 2</t>
  </si>
  <si>
    <t>MEEG331 - 23F - Fluids 1</t>
  </si>
  <si>
    <t>MEEG331 - 22F - Fluids 1</t>
  </si>
  <si>
    <t>MEEG331 - 21F - Fluids 1</t>
  </si>
  <si>
    <t>MEEG210 - 19F - Statics</t>
  </si>
  <si>
    <t>MEEG210 - 20F - Statics</t>
  </si>
  <si>
    <t>MEEG210 - 21F - Statics</t>
  </si>
  <si>
    <t>MEEG210 - 22F - Statics</t>
  </si>
  <si>
    <t>MEEG211 - 23S - Dynamics</t>
  </si>
  <si>
    <t>MEEG211 - 24S - Dynamics</t>
  </si>
  <si>
    <t>MEEG304 - Machine Design</t>
  </si>
  <si>
    <t>CHEM103 - Gen. Chem</t>
  </si>
  <si>
    <t>MATH - Rakesh</t>
  </si>
  <si>
    <t>MATH C1 - MADHUKA</t>
  </si>
  <si>
    <t>MATH C2 - MADHUKA</t>
  </si>
  <si>
    <t>MEEG210 - 23F - Statics</t>
  </si>
  <si>
    <t>MATH C4 - MADHUKA</t>
  </si>
  <si>
    <t>ME364L - 18F Masada Sec 18345</t>
  </si>
  <si>
    <t>AVERAGE GRADE</t>
  </si>
  <si>
    <t>Model #</t>
  </si>
  <si>
    <t>Seed #</t>
  </si>
  <si>
    <t>Chosen Regression</t>
  </si>
  <si>
    <t>MAE</t>
  </si>
  <si>
    <t>OVERALL MAX APPEARANCE:</t>
  </si>
  <si>
    <t>TOTAL PERCENTAGE OF APPEARANCE</t>
  </si>
  <si>
    <t>MODEL 1</t>
  </si>
  <si>
    <t>Decision Tree</t>
  </si>
  <si>
    <t>Elastic Net</t>
  </si>
  <si>
    <t>Ridge</t>
  </si>
  <si>
    <t>Random Forest</t>
  </si>
  <si>
    <t>Lasso</t>
  </si>
  <si>
    <t>Linear</t>
  </si>
  <si>
    <t>KNeighbors</t>
  </si>
  <si>
    <t>TOTAL:</t>
  </si>
  <si>
    <t>MODEL 2</t>
  </si>
  <si>
    <t>NOTE: REGARDLESS OF SEED, KNEIGHBORS DOMINATED GRADE CLASSIFICATION (1-5)</t>
  </si>
  <si>
    <t>MODEL 3</t>
  </si>
  <si>
    <t>MODEL 4</t>
  </si>
  <si>
    <t>MODEL 5</t>
  </si>
  <si>
    <t>Model Type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</si>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</sst>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5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sz val="11.0"/>
      <color rgb="FF1F1F1F"/>
      <name val="Monospace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3">
    <border/>
    <border>
      <left style="thick">
        <color rgb="FF000000"/>
      </left>
    </border>
    <border>
      <right style="thick">
        <color rgb="FF000000"/>
      </right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5" numFmtId="0" xfId="0" applyBorder="1" applyFont="1"/>
    <xf borderId="2" fillId="0" fontId="2" numFmtId="0" xfId="0" applyAlignment="1" applyBorder="1" applyFont="1">
      <alignment horizontal="center" readingOrder="0"/>
    </xf>
    <xf borderId="0" fillId="0" fontId="6" numFmtId="2" xfId="0" applyAlignment="1" applyFont="1" applyNumberFormat="1">
      <alignment horizontal="center" readingOrder="0"/>
    </xf>
    <xf borderId="3" fillId="0" fontId="5" numFmtId="0" xfId="0" applyBorder="1" applyFont="1"/>
    <xf borderId="4" fillId="0" fontId="2" numFmtId="0" xfId="0" applyAlignment="1" applyBorder="1" applyFont="1">
      <alignment horizontal="center" readingOrder="0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5" fillId="0" fontId="7" numFmtId="2" xfId="0" applyAlignment="1" applyBorder="1" applyFont="1" applyNumberFormat="1">
      <alignment readingOrder="0"/>
    </xf>
    <xf borderId="7" fillId="0" fontId="7" numFmtId="2" xfId="0" applyAlignment="1" applyBorder="1" applyFont="1" applyNumberFormat="1">
      <alignment readingOrder="0"/>
    </xf>
    <xf borderId="7" fillId="0" fontId="7" numFmtId="0" xfId="0" applyAlignment="1" applyBorder="1" applyFont="1">
      <alignment readingOrder="0"/>
    </xf>
    <xf borderId="5" fillId="0" fontId="3" numFmtId="2" xfId="0" applyAlignment="1" applyBorder="1" applyFont="1" applyNumberFormat="1">
      <alignment readingOrder="0"/>
    </xf>
    <xf borderId="3" fillId="0" fontId="3" numFmtId="2" xfId="0" applyAlignment="1" applyBorder="1" applyFont="1" applyNumberFormat="1">
      <alignment readingOrder="0"/>
    </xf>
    <xf borderId="5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3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2" fillId="0" fontId="4" numFmtId="2" xfId="0" applyAlignment="1" applyBorder="1" applyFont="1" applyNumberFormat="1">
      <alignment readingOrder="0"/>
    </xf>
    <xf borderId="2" fillId="0" fontId="4" numFmtId="2" xfId="0" applyBorder="1" applyFont="1" applyNumberFormat="1"/>
    <xf borderId="0" fillId="0" fontId="0" numFmtId="2" xfId="0" applyAlignment="1" applyFont="1" applyNumberFormat="1">
      <alignment readingOrder="0"/>
    </xf>
    <xf borderId="9" fillId="0" fontId="0" numFmtId="2" xfId="0" applyAlignment="1" applyBorder="1" applyFont="1" applyNumberFormat="1">
      <alignment readingOrder="0"/>
    </xf>
    <xf borderId="4" fillId="0" fontId="4" numFmtId="2" xfId="0" applyBorder="1" applyFont="1" applyNumberFormat="1"/>
    <xf borderId="0" fillId="0" fontId="4" numFmtId="2" xfId="0" applyFont="1" applyNumberFormat="1"/>
    <xf borderId="0" fillId="0" fontId="4" numFmtId="0" xfId="0" applyFont="1"/>
    <xf borderId="1" fillId="0" fontId="4" numFmtId="0" xfId="0" applyBorder="1" applyFont="1"/>
    <xf borderId="3" fillId="4" fontId="7" numFmtId="0" xfId="0" applyAlignment="1" applyBorder="1" applyFont="1">
      <alignment readingOrder="0"/>
    </xf>
    <xf borderId="10" fillId="4" fontId="7" numFmtId="0" xfId="0" applyAlignment="1" applyBorder="1" applyFont="1">
      <alignment readingOrder="0"/>
    </xf>
    <xf borderId="11" fillId="4" fontId="7" numFmtId="0" xfId="0" applyAlignment="1" applyBorder="1" applyFont="1">
      <alignment readingOrder="0"/>
    </xf>
    <xf borderId="0" fillId="0" fontId="0" numFmtId="2" xfId="0" applyFont="1" applyNumberFormat="1"/>
    <xf borderId="0" fillId="6" fontId="0" numFmtId="2" xfId="0" applyFill="1" applyFont="1" applyNumberFormat="1"/>
    <xf borderId="0" fillId="0" fontId="0" numFmtId="2" xfId="0" applyAlignment="1" applyFont="1" applyNumberFormat="1">
      <alignment horizontal="right" vertical="bottom"/>
    </xf>
    <xf borderId="0" fillId="0" fontId="0" numFmtId="2" xfId="0" applyAlignment="1" applyFont="1" applyNumberFormat="1">
      <alignment horizontal="right" readingOrder="0" vertical="bottom"/>
    </xf>
    <xf borderId="0" fillId="0" fontId="0" numFmtId="2" xfId="0" applyAlignment="1" applyFont="1" applyNumberFormat="1">
      <alignment horizontal="right" readingOrder="0"/>
    </xf>
    <xf borderId="0" fillId="0" fontId="0" numFmtId="2" xfId="0" applyAlignment="1" applyFont="1" applyNumberFormat="1">
      <alignment horizontal="right"/>
    </xf>
    <xf borderId="0" fillId="6" fontId="0" numFmtId="2" xfId="0" applyAlignment="1" applyFont="1" applyNumberFormat="1">
      <alignment horizontal="right"/>
    </xf>
    <xf borderId="3" fillId="5" fontId="7" numFmtId="0" xfId="0" applyAlignment="1" applyBorder="1" applyFont="1">
      <alignment readingOrder="0"/>
    </xf>
    <xf borderId="3" fillId="0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2" xfId="0" applyAlignment="1" applyFont="1" applyNumberFormat="1">
      <alignment readingOrder="0" vertical="bottom"/>
    </xf>
    <xf borderId="2" fillId="0" fontId="9" numFmtId="2" xfId="0" applyAlignment="1" applyBorder="1" applyFont="1" applyNumberFormat="1">
      <alignment readingOrder="0" vertical="bottom"/>
    </xf>
    <xf borderId="2" fillId="0" fontId="9" numFmtId="0" xfId="0" applyAlignment="1" applyBorder="1" applyFont="1">
      <alignment horizontal="center" readingOrder="0" vertical="bottom"/>
    </xf>
    <xf borderId="0" fillId="0" fontId="0" numFmtId="2" xfId="0" applyAlignment="1" applyFont="1" applyNumberFormat="1">
      <alignment readingOrder="0" vertical="bottom"/>
    </xf>
    <xf borderId="4" fillId="0" fontId="9" numFmtId="2" xfId="0" applyAlignment="1" applyBorder="1" applyFont="1" applyNumberFormat="1">
      <alignment horizontal="right" readingOrder="0" vertical="bottom"/>
    </xf>
    <xf borderId="4" fillId="0" fontId="9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vertical="bottom"/>
    </xf>
    <xf borderId="0" fillId="0" fontId="0" numFmtId="2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3" fillId="4" fontId="4" numFmtId="0" xfId="0" applyAlignment="1" applyBorder="1" applyFont="1">
      <alignment readingOrder="0" shrinkToFit="0" wrapText="1"/>
    </xf>
    <xf borderId="2" fillId="0" fontId="4" numFmtId="0" xfId="0" applyBorder="1" applyFont="1"/>
    <xf borderId="3" fillId="4" fontId="4" numFmtId="0" xfId="0" applyAlignment="1" applyBorder="1" applyFont="1">
      <alignment shrinkToFit="0" wrapText="1"/>
    </xf>
    <xf borderId="3" fillId="5" fontId="4" numFmtId="0" xfId="0" applyAlignment="1" applyBorder="1" applyFont="1">
      <alignment readingOrder="0" shrinkToFit="0" wrapText="1"/>
    </xf>
    <xf borderId="3" fillId="5" fontId="4" numFmtId="0" xfId="0" applyAlignment="1" applyBorder="1" applyFont="1">
      <alignment shrinkToFit="0" wrapText="1"/>
    </xf>
    <xf borderId="3" fillId="5" fontId="4" numFmtId="0" xfId="0" applyBorder="1" applyFont="1"/>
    <xf borderId="3" fillId="0" fontId="4" numFmtId="0" xfId="0" applyBorder="1" applyFont="1"/>
    <xf borderId="0" fillId="0" fontId="12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/>
    </xf>
    <xf borderId="0" fillId="0" fontId="9" numFmtId="10" xfId="0" applyAlignment="1" applyFont="1" applyNumberFormat="1">
      <alignment horizontal="center" vertical="bottom"/>
    </xf>
    <xf borderId="1" fillId="0" fontId="9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12" fillId="3" fontId="7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0"/>
    </xf>
    <xf borderId="0" fillId="7" fontId="0" numFmtId="0" xfId="0" applyAlignment="1" applyFill="1" applyFont="1">
      <alignment readingOrder="0"/>
    </xf>
    <xf borderId="0" fillId="7" fontId="4" numFmtId="0" xfId="0" applyFont="1"/>
    <xf borderId="0" fillId="0" fontId="4" numFmtId="10" xfId="0" applyFont="1" applyNumberFormat="1"/>
    <xf borderId="0" fillId="7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6" fontId="0" numFmtId="0" xfId="0" applyAlignment="1" applyFont="1">
      <alignment readingOrder="0"/>
    </xf>
    <xf borderId="0" fillId="6" fontId="14" numFmtId="0" xfId="0" applyAlignment="1" applyFont="1">
      <alignment readingOrder="0"/>
    </xf>
    <xf borderId="0" fillId="6" fontId="0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ar.wisc.edu/grade-reports/?utm_source=chatgpt.com" TargetMode="External"/><Relationship Id="rId2" Type="http://schemas.openxmlformats.org/officeDocument/2006/relationships/hyperlink" Target="https://reports.utexas.edu/spotlight-data/ut-course-grade-distributions" TargetMode="External"/><Relationship Id="rId3" Type="http://schemas.openxmlformats.org/officeDocument/2006/relationships/hyperlink" Target="https://utdirect.utexas.edu/apps/student/coursedocs/nlogon/?year=2016&amp;semester=2&amp;department=M+E&amp;course_number=&amp;course_title=Dynamics&amp;unique=&amp;instructor_first=&amp;instructor_last=&amp;course_type=In+Residence&amp;search=Searc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ar.wisc.edu/grade-reports/?utm_source=chatgpt.com" TargetMode="External"/><Relationship Id="rId2" Type="http://schemas.openxmlformats.org/officeDocument/2006/relationships/hyperlink" Target="https://reports.utexas.edu/spotlight-data/ut-course-grade-distribution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ar.wisc.edu/grade-reports/?utm_source=chatgpt.com" TargetMode="External"/><Relationship Id="rId2" Type="http://schemas.openxmlformats.org/officeDocument/2006/relationships/hyperlink" Target="https://reports.utexas.edu/spotlight-data/ut-course-grade-distributions" TargetMode="External"/><Relationship Id="rId3" Type="http://schemas.openxmlformats.org/officeDocument/2006/relationships/hyperlink" Target="https://utdirect.utexas.edu/apps/student/coursedocs/nlogon/?year=2016&amp;semester=2&amp;department=M+E&amp;course_number=&amp;course_title=Dynamics&amp;unique=&amp;instructor_first=&amp;instructor_last=&amp;course_type=In+Residence&amp;search=Search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8.88"/>
    <col customWidth="1" min="4" max="4" width="19.0"/>
    <col customWidth="1" min="11" max="11" width="14.75"/>
    <col customWidth="1" min="12" max="12" width="16.38"/>
    <col customWidth="1" min="13" max="13" width="27.75"/>
    <col customWidth="1" min="14" max="14" width="12.0"/>
    <col customWidth="1" min="15" max="15" width="13.0"/>
    <col customWidth="1" min="16" max="18" width="13.88"/>
    <col customWidth="1" min="19" max="19" width="33.0"/>
    <col customWidth="1" min="20" max="20" width="13.88"/>
    <col customWidth="1" min="21" max="21" width="15.38"/>
    <col customWidth="1" min="22" max="22" width="13.88"/>
    <col customWidth="1" min="23" max="23" width="14.75"/>
    <col customWidth="1" min="24" max="24" width="14.63"/>
    <col customWidth="1" min="25" max="26" width="15.88"/>
    <col customWidth="1" min="27" max="32" width="14.75"/>
    <col customWidth="1" min="33" max="33" width="15.75"/>
  </cols>
  <sheetData>
    <row r="1">
      <c r="A1" s="1" t="s">
        <v>0</v>
      </c>
      <c r="M1" s="2"/>
      <c r="N1" s="3"/>
      <c r="O1" s="3"/>
      <c r="P1" s="3"/>
      <c r="Q1" s="3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B2" s="4" t="s">
        <v>1</v>
      </c>
      <c r="C2" s="5" t="s">
        <v>2</v>
      </c>
      <c r="D2" s="6" t="s">
        <v>3</v>
      </c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B3" s="7" t="s">
        <v>4</v>
      </c>
      <c r="L3" s="8"/>
      <c r="M3" s="9"/>
      <c r="N3" s="10" t="s">
        <v>5</v>
      </c>
      <c r="R3" s="11"/>
      <c r="S3" s="9"/>
      <c r="T3" s="2" t="s">
        <v>6</v>
      </c>
      <c r="V3" s="12"/>
      <c r="W3" s="2" t="s">
        <v>7</v>
      </c>
      <c r="Y3" s="8"/>
      <c r="Z3" s="2" t="s">
        <v>8</v>
      </c>
      <c r="AD3" s="8"/>
      <c r="AE3" s="2"/>
      <c r="AF3" s="2"/>
      <c r="AG3" s="2"/>
    </row>
    <row r="4">
      <c r="A4" s="13" t="s">
        <v>9</v>
      </c>
      <c r="B4" s="14" t="s">
        <v>10</v>
      </c>
      <c r="C4" s="15" t="s">
        <v>11</v>
      </c>
      <c r="D4" s="13" t="s">
        <v>12</v>
      </c>
      <c r="E4" s="15" t="s">
        <v>13</v>
      </c>
      <c r="F4" s="13" t="s">
        <v>14</v>
      </c>
      <c r="G4" s="15" t="s">
        <v>15</v>
      </c>
      <c r="H4" s="13" t="s">
        <v>16</v>
      </c>
      <c r="I4" s="15" t="s">
        <v>17</v>
      </c>
      <c r="J4" s="13" t="s">
        <v>18</v>
      </c>
      <c r="K4" s="15" t="s">
        <v>19</v>
      </c>
      <c r="L4" s="16" t="s">
        <v>20</v>
      </c>
      <c r="M4" s="17" t="s">
        <v>21</v>
      </c>
      <c r="N4" s="18" t="s">
        <v>22</v>
      </c>
      <c r="O4" s="18" t="s">
        <v>23</v>
      </c>
      <c r="P4" s="18" t="s">
        <v>24</v>
      </c>
      <c r="Q4" s="18" t="s">
        <v>25</v>
      </c>
      <c r="R4" s="19" t="s">
        <v>26</v>
      </c>
      <c r="S4" s="17" t="s">
        <v>27</v>
      </c>
      <c r="T4" s="20" t="s">
        <v>28</v>
      </c>
      <c r="U4" s="20" t="s">
        <v>29</v>
      </c>
      <c r="V4" s="21" t="s">
        <v>30</v>
      </c>
      <c r="W4" s="22" t="s">
        <v>31</v>
      </c>
      <c r="X4" s="22" t="s">
        <v>32</v>
      </c>
      <c r="Y4" s="23" t="s">
        <v>33</v>
      </c>
      <c r="Z4" s="24" t="s">
        <v>34</v>
      </c>
      <c r="AA4" s="20" t="s">
        <v>35</v>
      </c>
      <c r="AB4" s="20" t="s">
        <v>36</v>
      </c>
      <c r="AC4" s="20" t="s">
        <v>37</v>
      </c>
      <c r="AD4" s="20" t="s">
        <v>38</v>
      </c>
      <c r="AE4" s="25"/>
      <c r="AF4" s="26"/>
      <c r="AG4" s="26"/>
    </row>
    <row r="5">
      <c r="A5" s="27" t="s">
        <v>39</v>
      </c>
      <c r="B5" s="28">
        <v>5.0</v>
      </c>
      <c r="C5" s="29">
        <v>0.2</v>
      </c>
      <c r="D5" s="28">
        <v>10.0</v>
      </c>
      <c r="E5" s="29">
        <v>0.6</v>
      </c>
      <c r="F5" s="28">
        <v>0.0</v>
      </c>
      <c r="G5" s="29">
        <v>0.0</v>
      </c>
      <c r="H5" s="28">
        <v>0.0</v>
      </c>
      <c r="I5" s="29">
        <v>0.0</v>
      </c>
      <c r="J5" s="28">
        <v>30.0</v>
      </c>
      <c r="K5" s="29">
        <v>0.2</v>
      </c>
      <c r="L5" s="30">
        <v>0.0</v>
      </c>
      <c r="M5" s="31">
        <f t="shared" ref="M5:M107" si="2">sum(C5+E5+G5+I5+K5+L5)</f>
        <v>1</v>
      </c>
      <c r="N5" s="32">
        <v>0.48</v>
      </c>
      <c r="O5" s="32">
        <v>1.58</v>
      </c>
      <c r="P5" s="32">
        <v>4.11</v>
      </c>
      <c r="Q5" s="32">
        <v>15.03</v>
      </c>
      <c r="R5" s="33">
        <v>78.8</v>
      </c>
      <c r="S5" s="34">
        <f t="shared" ref="S5:S107" si="3">SUM(N5:R5)</f>
        <v>100</v>
      </c>
      <c r="T5" s="35">
        <f t="shared" ref="T5:T107" si="4">SUM(N5:O5)</f>
        <v>2.06</v>
      </c>
      <c r="U5" s="35">
        <f t="shared" ref="U5:U107" si="5">SUM(P5:R5)</f>
        <v>97.94</v>
      </c>
      <c r="V5" s="34">
        <f t="shared" ref="V5:V107" si="6">SUM(T5:U5)</f>
        <v>100</v>
      </c>
      <c r="W5" s="35">
        <f t="shared" ref="W5:W107" si="7">SUM(N5:O5)</f>
        <v>2.06</v>
      </c>
      <c r="X5" s="35">
        <f t="shared" ref="X5:X108" si="8">P5</f>
        <v>4.11</v>
      </c>
      <c r="Y5" s="31">
        <f t="shared" ref="Y5:Y107" si="9">SUM(Q5:R5)</f>
        <v>93.83</v>
      </c>
      <c r="Z5" s="36">
        <f t="shared" ref="Z5:AD5" si="1">_xlfn.RANK.EQ(N5,$N5:$R5, 1)</f>
        <v>1</v>
      </c>
      <c r="AA5" s="36">
        <f t="shared" si="1"/>
        <v>2</v>
      </c>
      <c r="AB5" s="36">
        <f t="shared" si="1"/>
        <v>3</v>
      </c>
      <c r="AC5" s="36">
        <f t="shared" si="1"/>
        <v>4</v>
      </c>
      <c r="AD5" s="36">
        <f t="shared" si="1"/>
        <v>5</v>
      </c>
      <c r="AE5" s="37"/>
    </row>
    <row r="6">
      <c r="A6" s="27" t="s">
        <v>40</v>
      </c>
      <c r="B6" s="28">
        <v>8.0</v>
      </c>
      <c r="C6" s="29">
        <v>0.32</v>
      </c>
      <c r="D6" s="28">
        <v>4.0</v>
      </c>
      <c r="E6" s="29">
        <v>0.16</v>
      </c>
      <c r="F6" s="28">
        <v>1.0</v>
      </c>
      <c r="G6" s="29">
        <v>0.2</v>
      </c>
      <c r="H6" s="28">
        <v>0.0</v>
      </c>
      <c r="I6" s="29">
        <v>0.0</v>
      </c>
      <c r="J6" s="28">
        <v>4.0</v>
      </c>
      <c r="K6" s="29">
        <v>0.32</v>
      </c>
      <c r="L6" s="30">
        <v>0.0</v>
      </c>
      <c r="M6" s="31">
        <f t="shared" si="2"/>
        <v>1</v>
      </c>
      <c r="N6" s="32">
        <v>1.2</v>
      </c>
      <c r="O6" s="32">
        <v>4.82</v>
      </c>
      <c r="P6" s="32">
        <v>19.28</v>
      </c>
      <c r="Q6" s="32">
        <v>39.76</v>
      </c>
      <c r="R6" s="32">
        <v>34.94</v>
      </c>
      <c r="S6" s="34">
        <f t="shared" si="3"/>
        <v>100</v>
      </c>
      <c r="T6" s="35">
        <f t="shared" si="4"/>
        <v>6.02</v>
      </c>
      <c r="U6" s="35">
        <f t="shared" si="5"/>
        <v>93.98</v>
      </c>
      <c r="V6" s="34">
        <f t="shared" si="6"/>
        <v>100</v>
      </c>
      <c r="W6" s="35">
        <f t="shared" si="7"/>
        <v>6.02</v>
      </c>
      <c r="X6" s="35">
        <f t="shared" si="8"/>
        <v>19.28</v>
      </c>
      <c r="Y6" s="31">
        <f t="shared" si="9"/>
        <v>74.7</v>
      </c>
      <c r="Z6" s="36">
        <f t="shared" ref="Z6:AD6" si="10">_xlfn.RANK.EQ(N6,$N6:$R6, 1)</f>
        <v>1</v>
      </c>
      <c r="AA6" s="36">
        <f t="shared" si="10"/>
        <v>2</v>
      </c>
      <c r="AB6" s="36">
        <f t="shared" si="10"/>
        <v>3</v>
      </c>
      <c r="AC6" s="36">
        <f t="shared" si="10"/>
        <v>5</v>
      </c>
      <c r="AD6" s="36">
        <f t="shared" si="10"/>
        <v>4</v>
      </c>
      <c r="AE6" s="37"/>
    </row>
    <row r="7">
      <c r="A7" s="27" t="s">
        <v>41</v>
      </c>
      <c r="B7" s="28">
        <v>8.0</v>
      </c>
      <c r="C7" s="29">
        <v>0.32</v>
      </c>
      <c r="D7" s="28">
        <v>4.0</v>
      </c>
      <c r="E7" s="29">
        <v>0.16</v>
      </c>
      <c r="F7" s="28">
        <v>1.0</v>
      </c>
      <c r="G7" s="29">
        <v>0.2</v>
      </c>
      <c r="H7" s="28">
        <v>0.0</v>
      </c>
      <c r="I7" s="29">
        <v>0.0</v>
      </c>
      <c r="J7" s="28">
        <v>4.0</v>
      </c>
      <c r="K7" s="29">
        <v>0.32</v>
      </c>
      <c r="L7" s="30">
        <v>0.0</v>
      </c>
      <c r="M7" s="31">
        <f t="shared" si="2"/>
        <v>1</v>
      </c>
      <c r="N7" s="32">
        <v>0.0</v>
      </c>
      <c r="O7" s="32">
        <v>5.97</v>
      </c>
      <c r="P7" s="32">
        <v>16.42</v>
      </c>
      <c r="Q7" s="32">
        <v>41.79</v>
      </c>
      <c r="R7" s="32">
        <v>35.82</v>
      </c>
      <c r="S7" s="34">
        <f t="shared" si="3"/>
        <v>100</v>
      </c>
      <c r="T7" s="35">
        <f t="shared" si="4"/>
        <v>5.97</v>
      </c>
      <c r="U7" s="35">
        <f t="shared" si="5"/>
        <v>94.03</v>
      </c>
      <c r="V7" s="34">
        <f t="shared" si="6"/>
        <v>100</v>
      </c>
      <c r="W7" s="35">
        <f t="shared" si="7"/>
        <v>5.97</v>
      </c>
      <c r="X7" s="35">
        <f t="shared" si="8"/>
        <v>16.42</v>
      </c>
      <c r="Y7" s="31">
        <f t="shared" si="9"/>
        <v>77.61</v>
      </c>
      <c r="Z7" s="36">
        <f t="shared" ref="Z7:AD7" si="11">_xlfn.RANK.EQ(N7,$N7:$R7, 1)</f>
        <v>1</v>
      </c>
      <c r="AA7" s="36">
        <f t="shared" si="11"/>
        <v>2</v>
      </c>
      <c r="AB7" s="36">
        <f t="shared" si="11"/>
        <v>3</v>
      </c>
      <c r="AC7" s="36">
        <f t="shared" si="11"/>
        <v>5</v>
      </c>
      <c r="AD7" s="36">
        <f t="shared" si="11"/>
        <v>4</v>
      </c>
      <c r="AE7" s="37"/>
    </row>
    <row r="8">
      <c r="A8" s="27" t="s">
        <v>42</v>
      </c>
      <c r="B8" s="28">
        <v>8.0</v>
      </c>
      <c r="C8" s="29">
        <v>0.3</v>
      </c>
      <c r="D8" s="28">
        <v>6.0</v>
      </c>
      <c r="E8" s="29">
        <v>0.2</v>
      </c>
      <c r="F8" s="28">
        <v>0.0</v>
      </c>
      <c r="G8" s="29">
        <v>0.0</v>
      </c>
      <c r="H8" s="28">
        <v>3.0</v>
      </c>
      <c r="I8" s="29">
        <v>0.45</v>
      </c>
      <c r="J8" s="28">
        <v>0.0</v>
      </c>
      <c r="K8" s="29">
        <v>0.0</v>
      </c>
      <c r="L8" s="30">
        <v>0.05</v>
      </c>
      <c r="M8" s="31">
        <f t="shared" si="2"/>
        <v>1</v>
      </c>
      <c r="N8" s="32">
        <v>3.17</v>
      </c>
      <c r="O8" s="32">
        <v>6.35</v>
      </c>
      <c r="P8" s="32">
        <v>16.67</v>
      </c>
      <c r="Q8" s="32">
        <v>48.41</v>
      </c>
      <c r="R8" s="32">
        <v>25.4</v>
      </c>
      <c r="S8" s="34">
        <f t="shared" si="3"/>
        <v>100</v>
      </c>
      <c r="T8" s="35">
        <f t="shared" si="4"/>
        <v>9.52</v>
      </c>
      <c r="U8" s="35">
        <f t="shared" si="5"/>
        <v>90.48</v>
      </c>
      <c r="V8" s="34">
        <f t="shared" si="6"/>
        <v>100</v>
      </c>
      <c r="W8" s="35">
        <f t="shared" si="7"/>
        <v>9.52</v>
      </c>
      <c r="X8" s="35">
        <f t="shared" si="8"/>
        <v>16.67</v>
      </c>
      <c r="Y8" s="31">
        <f t="shared" si="9"/>
        <v>73.81</v>
      </c>
      <c r="Z8" s="36">
        <f t="shared" ref="Z8:AD8" si="12">_xlfn.RANK.EQ(N8,$N8:$R8, 1)</f>
        <v>1</v>
      </c>
      <c r="AA8" s="36">
        <f t="shared" si="12"/>
        <v>2</v>
      </c>
      <c r="AB8" s="36">
        <f t="shared" si="12"/>
        <v>3</v>
      </c>
      <c r="AC8" s="36">
        <f t="shared" si="12"/>
        <v>5</v>
      </c>
      <c r="AD8" s="36">
        <f t="shared" si="12"/>
        <v>4</v>
      </c>
      <c r="AE8" s="37"/>
    </row>
    <row r="9">
      <c r="A9" s="27" t="s">
        <v>43</v>
      </c>
      <c r="B9" s="28">
        <v>16.0</v>
      </c>
      <c r="C9" s="29">
        <v>0.5</v>
      </c>
      <c r="D9" s="28">
        <v>6.0</v>
      </c>
      <c r="E9" s="29">
        <v>0.2</v>
      </c>
      <c r="F9" s="28">
        <v>0.0</v>
      </c>
      <c r="G9" s="29">
        <v>0.0</v>
      </c>
      <c r="H9" s="28">
        <v>3.0</v>
      </c>
      <c r="I9" s="29">
        <v>0.3</v>
      </c>
      <c r="J9" s="28">
        <v>0.0</v>
      </c>
      <c r="K9" s="29">
        <v>0.0</v>
      </c>
      <c r="L9" s="30">
        <v>0.0</v>
      </c>
      <c r="M9" s="31">
        <f t="shared" si="2"/>
        <v>1</v>
      </c>
      <c r="N9" s="32">
        <v>3.43</v>
      </c>
      <c r="O9" s="32">
        <v>2.05</v>
      </c>
      <c r="P9" s="32">
        <v>32.19</v>
      </c>
      <c r="Q9" s="32">
        <v>45.21</v>
      </c>
      <c r="R9" s="32">
        <v>17.12</v>
      </c>
      <c r="S9" s="34">
        <f t="shared" si="3"/>
        <v>100</v>
      </c>
      <c r="T9" s="35">
        <f t="shared" si="4"/>
        <v>5.48</v>
      </c>
      <c r="U9" s="35">
        <f t="shared" si="5"/>
        <v>94.52</v>
      </c>
      <c r="V9" s="34">
        <f t="shared" si="6"/>
        <v>100</v>
      </c>
      <c r="W9" s="35">
        <f t="shared" si="7"/>
        <v>5.48</v>
      </c>
      <c r="X9" s="35">
        <f t="shared" si="8"/>
        <v>32.19</v>
      </c>
      <c r="Y9" s="31">
        <f t="shared" si="9"/>
        <v>62.33</v>
      </c>
      <c r="Z9" s="36">
        <f t="shared" ref="Z9:AD9" si="13">_xlfn.RANK.EQ(N9,$N9:$R9, 1)</f>
        <v>2</v>
      </c>
      <c r="AA9" s="36">
        <f t="shared" si="13"/>
        <v>1</v>
      </c>
      <c r="AB9" s="36">
        <f t="shared" si="13"/>
        <v>4</v>
      </c>
      <c r="AC9" s="36">
        <f t="shared" si="13"/>
        <v>5</v>
      </c>
      <c r="AD9" s="36">
        <f t="shared" si="13"/>
        <v>3</v>
      </c>
      <c r="AE9" s="37"/>
    </row>
    <row r="10">
      <c r="A10" s="27" t="s">
        <v>44</v>
      </c>
      <c r="B10" s="28">
        <v>9.0</v>
      </c>
      <c r="C10" s="29">
        <v>0.36</v>
      </c>
      <c r="D10" s="28">
        <v>0.0</v>
      </c>
      <c r="E10" s="29">
        <v>0.0</v>
      </c>
      <c r="F10" s="28">
        <v>0.0</v>
      </c>
      <c r="G10" s="29">
        <v>0.0</v>
      </c>
      <c r="H10" s="28">
        <v>4.0</v>
      </c>
      <c r="I10" s="29">
        <v>0.48</v>
      </c>
      <c r="J10" s="28">
        <v>35.0</v>
      </c>
      <c r="K10" s="29">
        <v>0.16</v>
      </c>
      <c r="L10" s="30">
        <v>0.0</v>
      </c>
      <c r="M10" s="31">
        <f t="shared" si="2"/>
        <v>1</v>
      </c>
      <c r="N10" s="32">
        <v>5.63</v>
      </c>
      <c r="O10" s="32">
        <v>3.52</v>
      </c>
      <c r="P10" s="32">
        <v>17.61</v>
      </c>
      <c r="Q10" s="32">
        <v>39.44</v>
      </c>
      <c r="R10" s="32">
        <v>33.8</v>
      </c>
      <c r="S10" s="34">
        <f t="shared" si="3"/>
        <v>100</v>
      </c>
      <c r="T10" s="35">
        <f t="shared" si="4"/>
        <v>9.15</v>
      </c>
      <c r="U10" s="35">
        <f t="shared" si="5"/>
        <v>90.85</v>
      </c>
      <c r="V10" s="34">
        <f t="shared" si="6"/>
        <v>100</v>
      </c>
      <c r="W10" s="35">
        <f t="shared" si="7"/>
        <v>9.15</v>
      </c>
      <c r="X10" s="35">
        <f t="shared" si="8"/>
        <v>17.61</v>
      </c>
      <c r="Y10" s="31">
        <f t="shared" si="9"/>
        <v>73.24</v>
      </c>
      <c r="Z10" s="36">
        <f t="shared" ref="Z10:AD10" si="14">_xlfn.RANK.EQ(N10,$N10:$R10, 1)</f>
        <v>2</v>
      </c>
      <c r="AA10" s="36">
        <f t="shared" si="14"/>
        <v>1</v>
      </c>
      <c r="AB10" s="36">
        <f t="shared" si="14"/>
        <v>3</v>
      </c>
      <c r="AC10" s="36">
        <f t="shared" si="14"/>
        <v>5</v>
      </c>
      <c r="AD10" s="36">
        <f t="shared" si="14"/>
        <v>4</v>
      </c>
      <c r="AE10" s="37"/>
    </row>
    <row r="11">
      <c r="A11" s="27" t="s">
        <v>45</v>
      </c>
      <c r="B11" s="28">
        <v>11.0</v>
      </c>
      <c r="C11" s="29">
        <v>0.25</v>
      </c>
      <c r="D11" s="28">
        <v>5.0</v>
      </c>
      <c r="E11" s="29">
        <v>0.15</v>
      </c>
      <c r="F11" s="28">
        <v>1.0</v>
      </c>
      <c r="G11" s="29">
        <v>0.2</v>
      </c>
      <c r="H11" s="28">
        <v>3.0</v>
      </c>
      <c r="I11" s="29">
        <v>0.3</v>
      </c>
      <c r="J11" s="28">
        <v>0.0</v>
      </c>
      <c r="K11" s="29">
        <v>0.0</v>
      </c>
      <c r="L11" s="30">
        <v>0.1</v>
      </c>
      <c r="M11" s="31">
        <f t="shared" si="2"/>
        <v>1</v>
      </c>
      <c r="N11" s="32">
        <v>5.36</v>
      </c>
      <c r="O11" s="32">
        <v>6.55</v>
      </c>
      <c r="P11" s="32">
        <v>19.64</v>
      </c>
      <c r="Q11" s="32">
        <v>35.12</v>
      </c>
      <c r="R11" s="32">
        <v>33.33</v>
      </c>
      <c r="S11" s="34">
        <f t="shared" si="3"/>
        <v>100</v>
      </c>
      <c r="T11" s="35">
        <f t="shared" si="4"/>
        <v>11.91</v>
      </c>
      <c r="U11" s="35">
        <f t="shared" si="5"/>
        <v>88.09</v>
      </c>
      <c r="V11" s="34">
        <f t="shared" si="6"/>
        <v>100</v>
      </c>
      <c r="W11" s="35">
        <f t="shared" si="7"/>
        <v>11.91</v>
      </c>
      <c r="X11" s="35">
        <f t="shared" si="8"/>
        <v>19.64</v>
      </c>
      <c r="Y11" s="31">
        <f t="shared" si="9"/>
        <v>68.45</v>
      </c>
      <c r="Z11" s="36">
        <f t="shared" ref="Z11:AD11" si="15">_xlfn.RANK.EQ(N11,$N11:$R11, 1)</f>
        <v>1</v>
      </c>
      <c r="AA11" s="36">
        <f t="shared" si="15"/>
        <v>2</v>
      </c>
      <c r="AB11" s="36">
        <f t="shared" si="15"/>
        <v>3</v>
      </c>
      <c r="AC11" s="36">
        <f t="shared" si="15"/>
        <v>5</v>
      </c>
      <c r="AD11" s="36">
        <f t="shared" si="15"/>
        <v>4</v>
      </c>
      <c r="AE11" s="37"/>
    </row>
    <row r="12">
      <c r="A12" s="27" t="s">
        <v>46</v>
      </c>
      <c r="B12" s="28">
        <v>11.0</v>
      </c>
      <c r="C12" s="29">
        <v>0.25</v>
      </c>
      <c r="D12" s="28">
        <v>4.0</v>
      </c>
      <c r="E12" s="29">
        <v>0.15</v>
      </c>
      <c r="F12" s="28">
        <v>1.0</v>
      </c>
      <c r="G12" s="29">
        <v>0.2</v>
      </c>
      <c r="H12" s="28">
        <v>3.0</v>
      </c>
      <c r="I12" s="29">
        <v>0.3</v>
      </c>
      <c r="J12" s="28">
        <v>24.0</v>
      </c>
      <c r="K12" s="29">
        <v>0.1</v>
      </c>
      <c r="L12" s="30">
        <v>0.0</v>
      </c>
      <c r="M12" s="31">
        <f t="shared" si="2"/>
        <v>1</v>
      </c>
      <c r="N12" s="32">
        <v>7.5</v>
      </c>
      <c r="O12" s="32">
        <v>6.25</v>
      </c>
      <c r="P12" s="32">
        <v>22.5</v>
      </c>
      <c r="Q12" s="32">
        <v>34.38</v>
      </c>
      <c r="R12" s="32">
        <v>29.37</v>
      </c>
      <c r="S12" s="34">
        <f t="shared" si="3"/>
        <v>100</v>
      </c>
      <c r="T12" s="35">
        <f t="shared" si="4"/>
        <v>13.75</v>
      </c>
      <c r="U12" s="35">
        <f t="shared" si="5"/>
        <v>86.25</v>
      </c>
      <c r="V12" s="34">
        <f t="shared" si="6"/>
        <v>100</v>
      </c>
      <c r="W12" s="35">
        <f t="shared" si="7"/>
        <v>13.75</v>
      </c>
      <c r="X12" s="35">
        <f t="shared" si="8"/>
        <v>22.5</v>
      </c>
      <c r="Y12" s="31">
        <f t="shared" si="9"/>
        <v>63.75</v>
      </c>
      <c r="Z12" s="36">
        <f t="shared" ref="Z12:AD12" si="16">_xlfn.RANK.EQ(N12,$N12:$R12, 1)</f>
        <v>2</v>
      </c>
      <c r="AA12" s="36">
        <f t="shared" si="16"/>
        <v>1</v>
      </c>
      <c r="AB12" s="36">
        <f t="shared" si="16"/>
        <v>3</v>
      </c>
      <c r="AC12" s="36">
        <f t="shared" si="16"/>
        <v>5</v>
      </c>
      <c r="AD12" s="36">
        <f t="shared" si="16"/>
        <v>4</v>
      </c>
      <c r="AE12" s="37"/>
    </row>
    <row r="13">
      <c r="A13" s="27" t="s">
        <v>47</v>
      </c>
      <c r="B13" s="28">
        <v>10.0</v>
      </c>
      <c r="C13" s="29">
        <v>0.25</v>
      </c>
      <c r="D13" s="28">
        <v>9.0</v>
      </c>
      <c r="E13" s="29">
        <v>0.15</v>
      </c>
      <c r="F13" s="28">
        <v>1.0</v>
      </c>
      <c r="G13" s="29">
        <v>0.2</v>
      </c>
      <c r="H13" s="28">
        <v>3.0</v>
      </c>
      <c r="I13" s="29">
        <v>0.3</v>
      </c>
      <c r="J13" s="28">
        <v>25.0</v>
      </c>
      <c r="K13" s="29">
        <v>0.1</v>
      </c>
      <c r="L13" s="30">
        <v>0.0</v>
      </c>
      <c r="M13" s="31">
        <f t="shared" si="2"/>
        <v>1</v>
      </c>
      <c r="N13" s="32">
        <v>7.1</v>
      </c>
      <c r="O13" s="32">
        <v>7.1</v>
      </c>
      <c r="P13" s="32">
        <v>12.26</v>
      </c>
      <c r="Q13" s="32">
        <v>34.19</v>
      </c>
      <c r="R13" s="32">
        <v>39.35</v>
      </c>
      <c r="S13" s="34">
        <f t="shared" si="3"/>
        <v>100</v>
      </c>
      <c r="T13" s="35">
        <f t="shared" si="4"/>
        <v>14.2</v>
      </c>
      <c r="U13" s="35">
        <f t="shared" si="5"/>
        <v>85.8</v>
      </c>
      <c r="V13" s="34">
        <f t="shared" si="6"/>
        <v>100</v>
      </c>
      <c r="W13" s="35">
        <f t="shared" si="7"/>
        <v>14.2</v>
      </c>
      <c r="X13" s="35">
        <f t="shared" si="8"/>
        <v>12.26</v>
      </c>
      <c r="Y13" s="31">
        <f t="shared" si="9"/>
        <v>73.54</v>
      </c>
      <c r="Z13" s="36">
        <f t="shared" ref="Z13:AD13" si="17">_xlfn.RANK.EQ(N13,$N13:$R13, 1)</f>
        <v>1</v>
      </c>
      <c r="AA13" s="36">
        <f t="shared" si="17"/>
        <v>1</v>
      </c>
      <c r="AB13" s="36">
        <f t="shared" si="17"/>
        <v>3</v>
      </c>
      <c r="AC13" s="36">
        <f t="shared" si="17"/>
        <v>4</v>
      </c>
      <c r="AD13" s="36">
        <f t="shared" si="17"/>
        <v>5</v>
      </c>
      <c r="AE13" s="37"/>
    </row>
    <row r="14">
      <c r="A14" s="27" t="s">
        <v>48</v>
      </c>
      <c r="B14" s="28">
        <v>10.0</v>
      </c>
      <c r="C14" s="29">
        <v>0.25</v>
      </c>
      <c r="D14" s="28">
        <v>6.0</v>
      </c>
      <c r="E14" s="29">
        <v>0.15</v>
      </c>
      <c r="F14" s="28">
        <v>1.0</v>
      </c>
      <c r="G14" s="29">
        <v>0.2</v>
      </c>
      <c r="H14" s="28">
        <v>3.0</v>
      </c>
      <c r="I14" s="29">
        <v>0.3</v>
      </c>
      <c r="J14" s="28">
        <v>24.0</v>
      </c>
      <c r="K14" s="29">
        <v>0.1</v>
      </c>
      <c r="L14" s="30">
        <v>0.0</v>
      </c>
      <c r="M14" s="31">
        <f t="shared" si="2"/>
        <v>1</v>
      </c>
      <c r="N14" s="32">
        <v>6.56</v>
      </c>
      <c r="O14" s="32">
        <v>2.19</v>
      </c>
      <c r="P14" s="32">
        <v>10.95</v>
      </c>
      <c r="Q14" s="32">
        <v>35.77</v>
      </c>
      <c r="R14" s="32">
        <v>44.53</v>
      </c>
      <c r="S14" s="34">
        <f t="shared" si="3"/>
        <v>100</v>
      </c>
      <c r="T14" s="35">
        <f t="shared" si="4"/>
        <v>8.75</v>
      </c>
      <c r="U14" s="35">
        <f t="shared" si="5"/>
        <v>91.25</v>
      </c>
      <c r="V14" s="34">
        <f t="shared" si="6"/>
        <v>100</v>
      </c>
      <c r="W14" s="35">
        <f t="shared" si="7"/>
        <v>8.75</v>
      </c>
      <c r="X14" s="35">
        <f t="shared" si="8"/>
        <v>10.95</v>
      </c>
      <c r="Y14" s="31">
        <f t="shared" si="9"/>
        <v>80.3</v>
      </c>
      <c r="Z14" s="36">
        <f t="shared" ref="Z14:AD14" si="18">_xlfn.RANK.EQ(N14,$N14:$R14, 1)</f>
        <v>2</v>
      </c>
      <c r="AA14" s="36">
        <f t="shared" si="18"/>
        <v>1</v>
      </c>
      <c r="AB14" s="36">
        <f t="shared" si="18"/>
        <v>3</v>
      </c>
      <c r="AC14" s="36">
        <f t="shared" si="18"/>
        <v>4</v>
      </c>
      <c r="AD14" s="36">
        <f t="shared" si="18"/>
        <v>5</v>
      </c>
      <c r="AE14" s="37"/>
    </row>
    <row r="15">
      <c r="A15" s="27" t="s">
        <v>49</v>
      </c>
      <c r="B15" s="28">
        <v>10.0</v>
      </c>
      <c r="C15" s="29">
        <v>0.25</v>
      </c>
      <c r="D15" s="28">
        <v>1.0</v>
      </c>
      <c r="E15" s="29">
        <v>0.1</v>
      </c>
      <c r="F15" s="28">
        <v>1.0</v>
      </c>
      <c r="G15" s="29">
        <v>0.2</v>
      </c>
      <c r="H15" s="28">
        <v>3.0</v>
      </c>
      <c r="I15" s="29">
        <v>0.3</v>
      </c>
      <c r="J15" s="28">
        <v>24.0</v>
      </c>
      <c r="K15" s="29">
        <v>0.15</v>
      </c>
      <c r="L15" s="30">
        <v>0.0</v>
      </c>
      <c r="M15" s="31">
        <f t="shared" si="2"/>
        <v>1</v>
      </c>
      <c r="N15" s="32">
        <v>1.55</v>
      </c>
      <c r="O15" s="32">
        <v>0.78</v>
      </c>
      <c r="P15" s="32">
        <v>17.83</v>
      </c>
      <c r="Q15" s="32">
        <v>41.86</v>
      </c>
      <c r="R15" s="32">
        <v>37.98</v>
      </c>
      <c r="S15" s="34">
        <f t="shared" si="3"/>
        <v>100</v>
      </c>
      <c r="T15" s="35">
        <f t="shared" si="4"/>
        <v>2.33</v>
      </c>
      <c r="U15" s="35">
        <f t="shared" si="5"/>
        <v>97.67</v>
      </c>
      <c r="V15" s="34">
        <f t="shared" si="6"/>
        <v>100</v>
      </c>
      <c r="W15" s="35">
        <f t="shared" si="7"/>
        <v>2.33</v>
      </c>
      <c r="X15" s="35">
        <f t="shared" si="8"/>
        <v>17.83</v>
      </c>
      <c r="Y15" s="31">
        <f t="shared" si="9"/>
        <v>79.84</v>
      </c>
      <c r="Z15" s="36">
        <f t="shared" ref="Z15:AD15" si="19">_xlfn.RANK.EQ(N15,$N15:$R15, 1)</f>
        <v>2</v>
      </c>
      <c r="AA15" s="36">
        <f t="shared" si="19"/>
        <v>1</v>
      </c>
      <c r="AB15" s="36">
        <f t="shared" si="19"/>
        <v>3</v>
      </c>
      <c r="AC15" s="36">
        <f t="shared" si="19"/>
        <v>5</v>
      </c>
      <c r="AD15" s="36">
        <f t="shared" si="19"/>
        <v>4</v>
      </c>
      <c r="AE15" s="37"/>
    </row>
    <row r="16">
      <c r="A16" s="27" t="s">
        <v>50</v>
      </c>
      <c r="B16" s="28">
        <v>10.0</v>
      </c>
      <c r="C16" s="29">
        <v>0.25</v>
      </c>
      <c r="D16" s="28">
        <v>1.0</v>
      </c>
      <c r="E16" s="29">
        <v>0.1</v>
      </c>
      <c r="F16" s="28">
        <v>1.0</v>
      </c>
      <c r="G16" s="29">
        <v>0.2</v>
      </c>
      <c r="H16" s="28">
        <v>3.0</v>
      </c>
      <c r="I16" s="29">
        <v>0.3</v>
      </c>
      <c r="J16" s="28">
        <v>28.0</v>
      </c>
      <c r="K16" s="29">
        <v>0.15</v>
      </c>
      <c r="L16" s="30">
        <v>0.0</v>
      </c>
      <c r="M16" s="31">
        <f t="shared" si="2"/>
        <v>1</v>
      </c>
      <c r="N16" s="32">
        <v>3.85</v>
      </c>
      <c r="O16" s="32">
        <v>3.08</v>
      </c>
      <c r="P16" s="32">
        <v>13.07</v>
      </c>
      <c r="Q16" s="32">
        <v>40.0</v>
      </c>
      <c r="R16" s="32">
        <v>40.0</v>
      </c>
      <c r="S16" s="34">
        <f t="shared" si="3"/>
        <v>100</v>
      </c>
      <c r="T16" s="35">
        <f t="shared" si="4"/>
        <v>6.93</v>
      </c>
      <c r="U16" s="35">
        <f t="shared" si="5"/>
        <v>93.07</v>
      </c>
      <c r="V16" s="34">
        <f t="shared" si="6"/>
        <v>100</v>
      </c>
      <c r="W16" s="35">
        <f t="shared" si="7"/>
        <v>6.93</v>
      </c>
      <c r="X16" s="35">
        <f t="shared" si="8"/>
        <v>13.07</v>
      </c>
      <c r="Y16" s="31">
        <f t="shared" si="9"/>
        <v>80</v>
      </c>
      <c r="Z16" s="36">
        <f t="shared" ref="Z16:AD16" si="20">_xlfn.RANK.EQ(N16,$N16:$R16, 1)</f>
        <v>2</v>
      </c>
      <c r="AA16" s="36">
        <f t="shared" si="20"/>
        <v>1</v>
      </c>
      <c r="AB16" s="36">
        <f t="shared" si="20"/>
        <v>3</v>
      </c>
      <c r="AC16" s="36">
        <f t="shared" si="20"/>
        <v>4</v>
      </c>
      <c r="AD16" s="36">
        <f t="shared" si="20"/>
        <v>4</v>
      </c>
      <c r="AE16" s="37"/>
    </row>
    <row r="17">
      <c r="A17" s="27" t="s">
        <v>51</v>
      </c>
      <c r="B17" s="28">
        <v>12.0</v>
      </c>
      <c r="C17" s="29">
        <v>0.45</v>
      </c>
      <c r="D17" s="28">
        <v>11.0</v>
      </c>
      <c r="E17" s="29">
        <v>0.5</v>
      </c>
      <c r="F17" s="28">
        <v>0.0</v>
      </c>
      <c r="G17" s="29">
        <v>0.0</v>
      </c>
      <c r="H17" s="28">
        <v>0.0</v>
      </c>
      <c r="I17" s="29">
        <v>0.0</v>
      </c>
      <c r="J17" s="28">
        <v>11.0</v>
      </c>
      <c r="K17" s="29">
        <v>0.05</v>
      </c>
      <c r="L17" s="30">
        <v>0.0</v>
      </c>
      <c r="M17" s="31">
        <f t="shared" si="2"/>
        <v>1</v>
      </c>
      <c r="N17" s="32">
        <v>2.42</v>
      </c>
      <c r="O17" s="32">
        <v>0.0</v>
      </c>
      <c r="P17" s="32">
        <v>4.03</v>
      </c>
      <c r="Q17" s="32">
        <v>17.74</v>
      </c>
      <c r="R17" s="32">
        <v>75.81</v>
      </c>
      <c r="S17" s="34">
        <f t="shared" si="3"/>
        <v>100</v>
      </c>
      <c r="T17" s="35">
        <f t="shared" si="4"/>
        <v>2.42</v>
      </c>
      <c r="U17" s="35">
        <f t="shared" si="5"/>
        <v>97.58</v>
      </c>
      <c r="V17" s="34">
        <f t="shared" si="6"/>
        <v>100</v>
      </c>
      <c r="W17" s="35">
        <f t="shared" si="7"/>
        <v>2.42</v>
      </c>
      <c r="X17" s="35">
        <f t="shared" si="8"/>
        <v>4.03</v>
      </c>
      <c r="Y17" s="31">
        <f t="shared" si="9"/>
        <v>93.55</v>
      </c>
      <c r="Z17" s="36">
        <f t="shared" ref="Z17:AD17" si="21">_xlfn.RANK.EQ(N17,$N17:$R17, 1)</f>
        <v>2</v>
      </c>
      <c r="AA17" s="36">
        <f t="shared" si="21"/>
        <v>1</v>
      </c>
      <c r="AB17" s="36">
        <f t="shared" si="21"/>
        <v>3</v>
      </c>
      <c r="AC17" s="36">
        <f t="shared" si="21"/>
        <v>4</v>
      </c>
      <c r="AD17" s="36">
        <f t="shared" si="21"/>
        <v>5</v>
      </c>
      <c r="AE17" s="37"/>
    </row>
    <row r="18">
      <c r="A18" s="27" t="s">
        <v>52</v>
      </c>
      <c r="B18" s="28">
        <v>8.0</v>
      </c>
      <c r="C18" s="29">
        <v>0.15</v>
      </c>
      <c r="D18" s="28">
        <v>1.0</v>
      </c>
      <c r="E18" s="29">
        <v>0.1</v>
      </c>
      <c r="F18" s="28">
        <v>1.0</v>
      </c>
      <c r="G18" s="29">
        <v>0.22</v>
      </c>
      <c r="H18" s="28">
        <v>3.0</v>
      </c>
      <c r="I18" s="29">
        <v>0.42</v>
      </c>
      <c r="J18" s="28">
        <v>0.0</v>
      </c>
      <c r="K18" s="29">
        <v>0.0</v>
      </c>
      <c r="L18" s="30">
        <v>0.11</v>
      </c>
      <c r="M18" s="31">
        <f t="shared" si="2"/>
        <v>1</v>
      </c>
      <c r="N18" s="32">
        <v>2.87</v>
      </c>
      <c r="O18" s="32">
        <v>9.2</v>
      </c>
      <c r="P18" s="32">
        <v>29.89</v>
      </c>
      <c r="Q18" s="32">
        <v>35.63</v>
      </c>
      <c r="R18" s="32">
        <v>22.41</v>
      </c>
      <c r="S18" s="34">
        <f t="shared" si="3"/>
        <v>100</v>
      </c>
      <c r="T18" s="35">
        <f t="shared" si="4"/>
        <v>12.07</v>
      </c>
      <c r="U18" s="35">
        <f t="shared" si="5"/>
        <v>87.93</v>
      </c>
      <c r="V18" s="34">
        <f t="shared" si="6"/>
        <v>100</v>
      </c>
      <c r="W18" s="35">
        <f t="shared" si="7"/>
        <v>12.07</v>
      </c>
      <c r="X18" s="35">
        <f t="shared" si="8"/>
        <v>29.89</v>
      </c>
      <c r="Y18" s="31">
        <f t="shared" si="9"/>
        <v>58.04</v>
      </c>
      <c r="Z18" s="36">
        <f t="shared" ref="Z18:AD18" si="22">_xlfn.RANK.EQ(N18,$N18:$R18, 1)</f>
        <v>1</v>
      </c>
      <c r="AA18" s="36">
        <f t="shared" si="22"/>
        <v>2</v>
      </c>
      <c r="AB18" s="36">
        <f t="shared" si="22"/>
        <v>4</v>
      </c>
      <c r="AC18" s="36">
        <f t="shared" si="22"/>
        <v>5</v>
      </c>
      <c r="AD18" s="36">
        <f t="shared" si="22"/>
        <v>3</v>
      </c>
      <c r="AE18" s="37"/>
    </row>
    <row r="19">
      <c r="A19" s="27" t="s">
        <v>53</v>
      </c>
      <c r="B19" s="28">
        <v>4.0</v>
      </c>
      <c r="C19" s="29">
        <v>0.2</v>
      </c>
      <c r="D19" s="28">
        <v>0.0</v>
      </c>
      <c r="E19" s="29">
        <v>0.0</v>
      </c>
      <c r="F19" s="28">
        <v>0.0</v>
      </c>
      <c r="G19" s="29">
        <v>0.0</v>
      </c>
      <c r="H19" s="28">
        <v>4.0</v>
      </c>
      <c r="I19" s="29">
        <v>0.8</v>
      </c>
      <c r="J19" s="28">
        <v>0.0</v>
      </c>
      <c r="K19" s="29">
        <v>0.0</v>
      </c>
      <c r="L19" s="30">
        <v>0.0</v>
      </c>
      <c r="M19" s="31">
        <f t="shared" si="2"/>
        <v>1</v>
      </c>
      <c r="N19" s="32">
        <v>7.15</v>
      </c>
      <c r="O19" s="32">
        <v>0.0</v>
      </c>
      <c r="P19" s="32">
        <v>28.57</v>
      </c>
      <c r="Q19" s="32">
        <v>28.57</v>
      </c>
      <c r="R19" s="32">
        <v>35.71</v>
      </c>
      <c r="S19" s="34">
        <f t="shared" si="3"/>
        <v>100</v>
      </c>
      <c r="T19" s="35">
        <f t="shared" si="4"/>
        <v>7.15</v>
      </c>
      <c r="U19" s="35">
        <f t="shared" si="5"/>
        <v>92.85</v>
      </c>
      <c r="V19" s="34">
        <f t="shared" si="6"/>
        <v>100</v>
      </c>
      <c r="W19" s="35">
        <f t="shared" si="7"/>
        <v>7.15</v>
      </c>
      <c r="X19" s="35">
        <f t="shared" si="8"/>
        <v>28.57</v>
      </c>
      <c r="Y19" s="31">
        <f t="shared" si="9"/>
        <v>64.28</v>
      </c>
      <c r="Z19" s="36">
        <f t="shared" ref="Z19:AD19" si="23">_xlfn.RANK.EQ(N19,$N19:$R19, 1)</f>
        <v>2</v>
      </c>
      <c r="AA19" s="36">
        <f t="shared" si="23"/>
        <v>1</v>
      </c>
      <c r="AB19" s="36">
        <f t="shared" si="23"/>
        <v>3</v>
      </c>
      <c r="AC19" s="36">
        <f t="shared" si="23"/>
        <v>3</v>
      </c>
      <c r="AD19" s="36">
        <f t="shared" si="23"/>
        <v>5</v>
      </c>
      <c r="AE19" s="37"/>
    </row>
    <row r="20">
      <c r="A20" s="27" t="s">
        <v>54</v>
      </c>
      <c r="B20" s="28">
        <v>6.0</v>
      </c>
      <c r="C20" s="29">
        <v>0.15</v>
      </c>
      <c r="D20" s="28">
        <v>0.0</v>
      </c>
      <c r="E20" s="29">
        <v>0.0</v>
      </c>
      <c r="F20" s="28">
        <v>1.0</v>
      </c>
      <c r="G20" s="29">
        <v>0.25</v>
      </c>
      <c r="H20" s="28">
        <v>2.0</v>
      </c>
      <c r="I20" s="29">
        <v>0.4</v>
      </c>
      <c r="J20" s="28">
        <v>3.0</v>
      </c>
      <c r="K20" s="29">
        <v>0.15</v>
      </c>
      <c r="L20" s="30">
        <v>0.05</v>
      </c>
      <c r="M20" s="31">
        <f t="shared" si="2"/>
        <v>1</v>
      </c>
      <c r="N20" s="32">
        <v>6.9</v>
      </c>
      <c r="O20" s="32">
        <v>3.45</v>
      </c>
      <c r="P20" s="32">
        <v>6.9</v>
      </c>
      <c r="Q20" s="32">
        <v>37.93</v>
      </c>
      <c r="R20" s="32">
        <v>44.82</v>
      </c>
      <c r="S20" s="34">
        <f t="shared" si="3"/>
        <v>100</v>
      </c>
      <c r="T20" s="35">
        <f t="shared" si="4"/>
        <v>10.35</v>
      </c>
      <c r="U20" s="35">
        <f t="shared" si="5"/>
        <v>89.65</v>
      </c>
      <c r="V20" s="34">
        <f t="shared" si="6"/>
        <v>100</v>
      </c>
      <c r="W20" s="35">
        <f t="shared" si="7"/>
        <v>10.35</v>
      </c>
      <c r="X20" s="35">
        <f t="shared" si="8"/>
        <v>6.9</v>
      </c>
      <c r="Y20" s="31">
        <f t="shared" si="9"/>
        <v>82.75</v>
      </c>
      <c r="Z20" s="36">
        <f t="shared" ref="Z20:AD20" si="24">_xlfn.RANK.EQ(N20,$N20:$R20, 1)</f>
        <v>2</v>
      </c>
      <c r="AA20" s="36">
        <f t="shared" si="24"/>
        <v>1</v>
      </c>
      <c r="AB20" s="36">
        <f t="shared" si="24"/>
        <v>2</v>
      </c>
      <c r="AC20" s="36">
        <f t="shared" si="24"/>
        <v>4</v>
      </c>
      <c r="AD20" s="36">
        <f t="shared" si="24"/>
        <v>5</v>
      </c>
      <c r="AE20" s="37"/>
    </row>
    <row r="21">
      <c r="A21" s="27" t="s">
        <v>55</v>
      </c>
      <c r="B21" s="28">
        <v>6.0</v>
      </c>
      <c r="C21" s="29">
        <v>0.15</v>
      </c>
      <c r="D21" s="28">
        <v>0.0</v>
      </c>
      <c r="E21" s="29">
        <v>0.0</v>
      </c>
      <c r="F21" s="28">
        <v>1.0</v>
      </c>
      <c r="G21" s="29">
        <v>0.25</v>
      </c>
      <c r="H21" s="28">
        <v>2.0</v>
      </c>
      <c r="I21" s="29">
        <v>0.4</v>
      </c>
      <c r="J21" s="28">
        <v>3.0</v>
      </c>
      <c r="K21" s="29">
        <v>0.15</v>
      </c>
      <c r="L21" s="30">
        <v>0.05</v>
      </c>
      <c r="M21" s="31">
        <f t="shared" si="2"/>
        <v>1</v>
      </c>
      <c r="N21" s="32">
        <v>1.72</v>
      </c>
      <c r="O21" s="32">
        <v>1.72</v>
      </c>
      <c r="P21" s="32">
        <v>13.79</v>
      </c>
      <c r="Q21" s="32">
        <v>31.03</v>
      </c>
      <c r="R21" s="32">
        <v>51.74</v>
      </c>
      <c r="S21" s="34">
        <f t="shared" si="3"/>
        <v>100</v>
      </c>
      <c r="T21" s="35">
        <f t="shared" si="4"/>
        <v>3.44</v>
      </c>
      <c r="U21" s="35">
        <f t="shared" si="5"/>
        <v>96.56</v>
      </c>
      <c r="V21" s="34">
        <f t="shared" si="6"/>
        <v>100</v>
      </c>
      <c r="W21" s="35">
        <f t="shared" si="7"/>
        <v>3.44</v>
      </c>
      <c r="X21" s="35">
        <f t="shared" si="8"/>
        <v>13.79</v>
      </c>
      <c r="Y21" s="31">
        <f t="shared" si="9"/>
        <v>82.77</v>
      </c>
      <c r="Z21" s="36">
        <f t="shared" ref="Z21:AD21" si="25">_xlfn.RANK.EQ(N21,$N21:$R21, 1)</f>
        <v>1</v>
      </c>
      <c r="AA21" s="36">
        <f t="shared" si="25"/>
        <v>1</v>
      </c>
      <c r="AB21" s="36">
        <f t="shared" si="25"/>
        <v>3</v>
      </c>
      <c r="AC21" s="36">
        <f t="shared" si="25"/>
        <v>4</v>
      </c>
      <c r="AD21" s="36">
        <f t="shared" si="25"/>
        <v>5</v>
      </c>
      <c r="AE21" s="37"/>
    </row>
    <row r="22">
      <c r="A22" s="38" t="s">
        <v>56</v>
      </c>
      <c r="B22" s="28">
        <v>0.0</v>
      </c>
      <c r="C22" s="28">
        <v>0.0</v>
      </c>
      <c r="D22" s="28">
        <v>11.0</v>
      </c>
      <c r="E22" s="28">
        <v>0.95</v>
      </c>
      <c r="F22" s="28">
        <v>0.0</v>
      </c>
      <c r="G22" s="28">
        <v>0.0</v>
      </c>
      <c r="H22" s="28">
        <v>0.0</v>
      </c>
      <c r="I22" s="28">
        <v>0.0</v>
      </c>
      <c r="J22" s="28">
        <v>0.0</v>
      </c>
      <c r="K22" s="28">
        <v>0.0</v>
      </c>
      <c r="L22" s="30">
        <v>0.05</v>
      </c>
      <c r="M22" s="31">
        <f t="shared" si="2"/>
        <v>1</v>
      </c>
      <c r="N22" s="32">
        <v>0.0</v>
      </c>
      <c r="O22" s="32">
        <v>0.0</v>
      </c>
      <c r="P22" s="32">
        <v>0.0</v>
      </c>
      <c r="Q22" s="32">
        <v>37.04</v>
      </c>
      <c r="R22" s="32">
        <v>62.96</v>
      </c>
      <c r="S22" s="34">
        <f t="shared" si="3"/>
        <v>100</v>
      </c>
      <c r="T22" s="35">
        <f t="shared" si="4"/>
        <v>0</v>
      </c>
      <c r="U22" s="35">
        <f t="shared" si="5"/>
        <v>100</v>
      </c>
      <c r="V22" s="34">
        <f t="shared" si="6"/>
        <v>100</v>
      </c>
      <c r="W22" s="35">
        <f t="shared" si="7"/>
        <v>0</v>
      </c>
      <c r="X22" s="35">
        <f t="shared" si="8"/>
        <v>0</v>
      </c>
      <c r="Y22" s="31">
        <f t="shared" si="9"/>
        <v>100</v>
      </c>
      <c r="Z22" s="36">
        <f t="shared" ref="Z22:AD22" si="26">_xlfn.RANK.EQ(N22,$N22:$R22, 1)</f>
        <v>1</v>
      </c>
      <c r="AA22" s="36">
        <f t="shared" si="26"/>
        <v>1</v>
      </c>
      <c r="AB22" s="36">
        <f t="shared" si="26"/>
        <v>1</v>
      </c>
      <c r="AC22" s="36">
        <f t="shared" si="26"/>
        <v>4</v>
      </c>
      <c r="AD22" s="36">
        <f t="shared" si="26"/>
        <v>5</v>
      </c>
      <c r="AE22" s="37"/>
    </row>
    <row r="23">
      <c r="A23" s="38" t="s">
        <v>57</v>
      </c>
      <c r="B23" s="28">
        <v>11.0</v>
      </c>
      <c r="C23" s="28">
        <v>0.25</v>
      </c>
      <c r="D23" s="28">
        <v>1.0</v>
      </c>
      <c r="E23" s="28">
        <v>0.2</v>
      </c>
      <c r="F23" s="28">
        <v>0.0</v>
      </c>
      <c r="G23" s="28">
        <v>0.0</v>
      </c>
      <c r="H23" s="28">
        <v>2.0</v>
      </c>
      <c r="I23" s="28">
        <v>0.5</v>
      </c>
      <c r="J23" s="28">
        <v>0.0</v>
      </c>
      <c r="K23" s="28">
        <v>0.0</v>
      </c>
      <c r="L23" s="30">
        <v>0.05</v>
      </c>
      <c r="M23" s="31">
        <f t="shared" si="2"/>
        <v>1</v>
      </c>
      <c r="N23" s="32">
        <v>0.0</v>
      </c>
      <c r="O23" s="32">
        <v>0.0</v>
      </c>
      <c r="P23" s="32">
        <v>0.0</v>
      </c>
      <c r="Q23" s="32">
        <v>63.64</v>
      </c>
      <c r="R23" s="32">
        <v>36.36</v>
      </c>
      <c r="S23" s="34">
        <f t="shared" si="3"/>
        <v>100</v>
      </c>
      <c r="T23" s="35">
        <f t="shared" si="4"/>
        <v>0</v>
      </c>
      <c r="U23" s="35">
        <f t="shared" si="5"/>
        <v>100</v>
      </c>
      <c r="V23" s="34">
        <f t="shared" si="6"/>
        <v>100</v>
      </c>
      <c r="W23" s="35">
        <f t="shared" si="7"/>
        <v>0</v>
      </c>
      <c r="X23" s="35">
        <f t="shared" si="8"/>
        <v>0</v>
      </c>
      <c r="Y23" s="31">
        <f t="shared" si="9"/>
        <v>100</v>
      </c>
      <c r="Z23" s="36">
        <f t="shared" ref="Z23:AD23" si="27">_xlfn.RANK.EQ(N23,$N23:$R23, 1)</f>
        <v>1</v>
      </c>
      <c r="AA23" s="36">
        <f t="shared" si="27"/>
        <v>1</v>
      </c>
      <c r="AB23" s="36">
        <f t="shared" si="27"/>
        <v>1</v>
      </c>
      <c r="AC23" s="36">
        <f t="shared" si="27"/>
        <v>5</v>
      </c>
      <c r="AD23" s="36">
        <f t="shared" si="27"/>
        <v>4</v>
      </c>
      <c r="AE23" s="37"/>
    </row>
    <row r="24">
      <c r="A24" s="38" t="s">
        <v>58</v>
      </c>
      <c r="B24" s="28">
        <v>0.0</v>
      </c>
      <c r="C24" s="28">
        <v>0.0</v>
      </c>
      <c r="D24" s="28">
        <v>3.0</v>
      </c>
      <c r="E24" s="28">
        <v>0.84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30">
        <v>0.16</v>
      </c>
      <c r="M24" s="31">
        <f t="shared" si="2"/>
        <v>1</v>
      </c>
      <c r="N24" s="32">
        <v>0.0</v>
      </c>
      <c r="O24" s="32">
        <v>0.0</v>
      </c>
      <c r="P24" s="32">
        <v>0.0</v>
      </c>
      <c r="Q24" s="32">
        <v>11.11</v>
      </c>
      <c r="R24" s="32">
        <v>88.89</v>
      </c>
      <c r="S24" s="34">
        <f t="shared" si="3"/>
        <v>100</v>
      </c>
      <c r="T24" s="35">
        <f t="shared" si="4"/>
        <v>0</v>
      </c>
      <c r="U24" s="35">
        <f t="shared" si="5"/>
        <v>100</v>
      </c>
      <c r="V24" s="34">
        <f t="shared" si="6"/>
        <v>100</v>
      </c>
      <c r="W24" s="35">
        <f t="shared" si="7"/>
        <v>0</v>
      </c>
      <c r="X24" s="35">
        <f t="shared" si="8"/>
        <v>0</v>
      </c>
      <c r="Y24" s="31">
        <f t="shared" si="9"/>
        <v>100</v>
      </c>
      <c r="Z24" s="36">
        <f t="shared" ref="Z24:AD24" si="28">_xlfn.RANK.EQ(N24,$N24:$R24, 1)</f>
        <v>1</v>
      </c>
      <c r="AA24" s="36">
        <f t="shared" si="28"/>
        <v>1</v>
      </c>
      <c r="AB24" s="36">
        <f t="shared" si="28"/>
        <v>1</v>
      </c>
      <c r="AC24" s="36">
        <f t="shared" si="28"/>
        <v>4</v>
      </c>
      <c r="AD24" s="36">
        <f t="shared" si="28"/>
        <v>5</v>
      </c>
      <c r="AE24" s="37"/>
    </row>
    <row r="25">
      <c r="A25" s="38" t="s">
        <v>59</v>
      </c>
      <c r="B25" s="28">
        <v>14.0</v>
      </c>
      <c r="C25" s="28">
        <v>0.1</v>
      </c>
      <c r="D25" s="28">
        <v>0.0</v>
      </c>
      <c r="E25" s="28">
        <v>0.0</v>
      </c>
      <c r="F25" s="28">
        <v>1.0</v>
      </c>
      <c r="G25" s="28">
        <v>0.3</v>
      </c>
      <c r="H25" s="28">
        <v>3.0</v>
      </c>
      <c r="I25" s="28">
        <v>0.5</v>
      </c>
      <c r="J25" s="28">
        <v>14.0</v>
      </c>
      <c r="K25" s="28">
        <v>0.1</v>
      </c>
      <c r="L25" s="30">
        <v>0.0</v>
      </c>
      <c r="M25" s="31">
        <f t="shared" si="2"/>
        <v>1</v>
      </c>
      <c r="N25" s="32">
        <v>0.95</v>
      </c>
      <c r="O25" s="32">
        <v>0.47</v>
      </c>
      <c r="P25" s="32">
        <v>3.32</v>
      </c>
      <c r="Q25" s="32">
        <v>15.64</v>
      </c>
      <c r="R25" s="32">
        <v>79.62</v>
      </c>
      <c r="S25" s="34">
        <f t="shared" si="3"/>
        <v>100</v>
      </c>
      <c r="T25" s="35">
        <f t="shared" si="4"/>
        <v>1.42</v>
      </c>
      <c r="U25" s="35">
        <f t="shared" si="5"/>
        <v>98.58</v>
      </c>
      <c r="V25" s="34">
        <f t="shared" si="6"/>
        <v>100</v>
      </c>
      <c r="W25" s="35">
        <f t="shared" si="7"/>
        <v>1.42</v>
      </c>
      <c r="X25" s="35">
        <f t="shared" si="8"/>
        <v>3.32</v>
      </c>
      <c r="Y25" s="31">
        <f t="shared" si="9"/>
        <v>95.26</v>
      </c>
      <c r="Z25" s="36">
        <f t="shared" ref="Z25:AD25" si="29">_xlfn.RANK.EQ(N25,$N25:$R25, 1)</f>
        <v>2</v>
      </c>
      <c r="AA25" s="36">
        <f t="shared" si="29"/>
        <v>1</v>
      </c>
      <c r="AB25" s="36">
        <f t="shared" si="29"/>
        <v>3</v>
      </c>
      <c r="AC25" s="36">
        <f t="shared" si="29"/>
        <v>4</v>
      </c>
      <c r="AD25" s="36">
        <f t="shared" si="29"/>
        <v>5</v>
      </c>
      <c r="AE25" s="37"/>
    </row>
    <row r="26">
      <c r="A26" s="38" t="s">
        <v>60</v>
      </c>
      <c r="B26" s="28">
        <v>10.0</v>
      </c>
      <c r="C26" s="28">
        <v>0.15</v>
      </c>
      <c r="D26" s="28">
        <v>0.0</v>
      </c>
      <c r="E26" s="28">
        <v>0.0</v>
      </c>
      <c r="F26" s="28">
        <v>1.0</v>
      </c>
      <c r="G26" s="28">
        <v>0.3</v>
      </c>
      <c r="H26" s="28">
        <v>2.0</v>
      </c>
      <c r="I26" s="28">
        <v>0.4</v>
      </c>
      <c r="J26" s="28">
        <v>0.0</v>
      </c>
      <c r="K26" s="28">
        <v>0.0</v>
      </c>
      <c r="L26" s="30">
        <v>0.15</v>
      </c>
      <c r="M26" s="31">
        <f t="shared" si="2"/>
        <v>1</v>
      </c>
      <c r="N26" s="32">
        <v>0.0</v>
      </c>
      <c r="O26" s="32">
        <v>0.0</v>
      </c>
      <c r="P26" s="32">
        <v>17.39</v>
      </c>
      <c r="Q26" s="32">
        <v>34.78</v>
      </c>
      <c r="R26" s="32">
        <v>47.83</v>
      </c>
      <c r="S26" s="34">
        <f t="shared" si="3"/>
        <v>100</v>
      </c>
      <c r="T26" s="35">
        <f t="shared" si="4"/>
        <v>0</v>
      </c>
      <c r="U26" s="35">
        <f t="shared" si="5"/>
        <v>100</v>
      </c>
      <c r="V26" s="34">
        <f t="shared" si="6"/>
        <v>100</v>
      </c>
      <c r="W26" s="35">
        <f t="shared" si="7"/>
        <v>0</v>
      </c>
      <c r="X26" s="35">
        <f t="shared" si="8"/>
        <v>17.39</v>
      </c>
      <c r="Y26" s="31">
        <f t="shared" si="9"/>
        <v>82.61</v>
      </c>
      <c r="Z26" s="36">
        <f t="shared" ref="Z26:AD26" si="30">_xlfn.RANK.EQ(N26,$N26:$R26, 1)</f>
        <v>1</v>
      </c>
      <c r="AA26" s="36">
        <f t="shared" si="30"/>
        <v>1</v>
      </c>
      <c r="AB26" s="36">
        <f t="shared" si="30"/>
        <v>3</v>
      </c>
      <c r="AC26" s="36">
        <f t="shared" si="30"/>
        <v>4</v>
      </c>
      <c r="AD26" s="36">
        <f t="shared" si="30"/>
        <v>5</v>
      </c>
      <c r="AE26" s="37"/>
    </row>
    <row r="27">
      <c r="A27" s="38" t="s">
        <v>61</v>
      </c>
      <c r="B27" s="28">
        <v>10.0</v>
      </c>
      <c r="C27" s="28">
        <v>0.15</v>
      </c>
      <c r="D27" s="28">
        <v>0.0</v>
      </c>
      <c r="E27" s="28">
        <v>0.0</v>
      </c>
      <c r="F27" s="28">
        <v>1.0</v>
      </c>
      <c r="G27" s="28">
        <v>0.3</v>
      </c>
      <c r="H27" s="28">
        <v>2.0</v>
      </c>
      <c r="I27" s="28">
        <v>0.4</v>
      </c>
      <c r="J27" s="28">
        <v>0.0</v>
      </c>
      <c r="K27" s="28">
        <v>0.0</v>
      </c>
      <c r="L27" s="30">
        <v>0.15</v>
      </c>
      <c r="M27" s="31">
        <f t="shared" si="2"/>
        <v>1</v>
      </c>
      <c r="N27" s="32">
        <v>0.0</v>
      </c>
      <c r="O27" s="32">
        <v>0.0</v>
      </c>
      <c r="P27" s="32">
        <v>5.41</v>
      </c>
      <c r="Q27" s="32">
        <v>37.84</v>
      </c>
      <c r="R27" s="32">
        <v>56.75</v>
      </c>
      <c r="S27" s="34">
        <f t="shared" si="3"/>
        <v>100</v>
      </c>
      <c r="T27" s="35">
        <f t="shared" si="4"/>
        <v>0</v>
      </c>
      <c r="U27" s="35">
        <f t="shared" si="5"/>
        <v>100</v>
      </c>
      <c r="V27" s="34">
        <f t="shared" si="6"/>
        <v>100</v>
      </c>
      <c r="W27" s="35">
        <f t="shared" si="7"/>
        <v>0</v>
      </c>
      <c r="X27" s="35">
        <f t="shared" si="8"/>
        <v>5.41</v>
      </c>
      <c r="Y27" s="31">
        <f t="shared" si="9"/>
        <v>94.59</v>
      </c>
      <c r="Z27" s="36">
        <f t="shared" ref="Z27:AD27" si="31">_xlfn.RANK.EQ(N27,$N27:$R27, 1)</f>
        <v>1</v>
      </c>
      <c r="AA27" s="36">
        <f t="shared" si="31"/>
        <v>1</v>
      </c>
      <c r="AB27" s="36">
        <f t="shared" si="31"/>
        <v>3</v>
      </c>
      <c r="AC27" s="36">
        <f t="shared" si="31"/>
        <v>4</v>
      </c>
      <c r="AD27" s="36">
        <f t="shared" si="31"/>
        <v>5</v>
      </c>
      <c r="AE27" s="37"/>
    </row>
    <row r="28">
      <c r="A28" s="38" t="s">
        <v>62</v>
      </c>
      <c r="B28" s="28">
        <v>11.0</v>
      </c>
      <c r="C28" s="28">
        <v>0.15</v>
      </c>
      <c r="D28" s="28">
        <v>0.0</v>
      </c>
      <c r="E28" s="28">
        <v>0.0</v>
      </c>
      <c r="F28" s="28">
        <v>1.0</v>
      </c>
      <c r="G28" s="28">
        <v>0.2125</v>
      </c>
      <c r="H28" s="28">
        <v>3.0</v>
      </c>
      <c r="I28" s="28">
        <v>0.6375</v>
      </c>
      <c r="J28" s="28">
        <v>0.0</v>
      </c>
      <c r="K28" s="28">
        <v>0.0</v>
      </c>
      <c r="L28" s="30">
        <v>0.0</v>
      </c>
      <c r="M28" s="31">
        <f t="shared" si="2"/>
        <v>1</v>
      </c>
      <c r="N28" s="32">
        <v>0.0</v>
      </c>
      <c r="O28" s="32">
        <v>0.0</v>
      </c>
      <c r="P28" s="32">
        <v>26.67</v>
      </c>
      <c r="Q28" s="32">
        <v>60.0</v>
      </c>
      <c r="R28" s="32">
        <v>13.33</v>
      </c>
      <c r="S28" s="34">
        <f t="shared" si="3"/>
        <v>100</v>
      </c>
      <c r="T28" s="35">
        <f t="shared" si="4"/>
        <v>0</v>
      </c>
      <c r="U28" s="35">
        <f t="shared" si="5"/>
        <v>100</v>
      </c>
      <c r="V28" s="34">
        <f t="shared" si="6"/>
        <v>100</v>
      </c>
      <c r="W28" s="35">
        <f t="shared" si="7"/>
        <v>0</v>
      </c>
      <c r="X28" s="35">
        <f t="shared" si="8"/>
        <v>26.67</v>
      </c>
      <c r="Y28" s="31">
        <f t="shared" si="9"/>
        <v>73.33</v>
      </c>
      <c r="Z28" s="36">
        <f t="shared" ref="Z28:AD28" si="32">_xlfn.RANK.EQ(N28,$N28:$R28, 1)</f>
        <v>1</v>
      </c>
      <c r="AA28" s="36">
        <f t="shared" si="32"/>
        <v>1</v>
      </c>
      <c r="AB28" s="36">
        <f t="shared" si="32"/>
        <v>4</v>
      </c>
      <c r="AC28" s="36">
        <f t="shared" si="32"/>
        <v>5</v>
      </c>
      <c r="AD28" s="36">
        <f t="shared" si="32"/>
        <v>3</v>
      </c>
      <c r="AE28" s="37"/>
    </row>
    <row r="29">
      <c r="A29" s="38" t="s">
        <v>63</v>
      </c>
      <c r="B29" s="28">
        <v>11.0</v>
      </c>
      <c r="C29" s="28">
        <v>0.5</v>
      </c>
      <c r="D29" s="28">
        <v>0.0</v>
      </c>
      <c r="E29" s="28">
        <v>0.0</v>
      </c>
      <c r="F29" s="28">
        <v>0.0</v>
      </c>
      <c r="G29" s="28">
        <v>0.0</v>
      </c>
      <c r="H29" s="28">
        <v>3.0</v>
      </c>
      <c r="I29" s="28">
        <v>0.5</v>
      </c>
      <c r="J29" s="28">
        <v>0.0</v>
      </c>
      <c r="K29" s="28">
        <v>0.0</v>
      </c>
      <c r="L29" s="30">
        <v>0.0</v>
      </c>
      <c r="M29" s="31">
        <f t="shared" si="2"/>
        <v>1</v>
      </c>
      <c r="N29" s="32">
        <v>1.31</v>
      </c>
      <c r="O29" s="32">
        <v>0.0</v>
      </c>
      <c r="P29" s="32">
        <v>1.96</v>
      </c>
      <c r="Q29" s="32">
        <v>11.76</v>
      </c>
      <c r="R29" s="32">
        <v>84.97</v>
      </c>
      <c r="S29" s="34">
        <f t="shared" si="3"/>
        <v>100</v>
      </c>
      <c r="T29" s="35">
        <f t="shared" si="4"/>
        <v>1.31</v>
      </c>
      <c r="U29" s="35">
        <f t="shared" si="5"/>
        <v>98.69</v>
      </c>
      <c r="V29" s="34">
        <f t="shared" si="6"/>
        <v>100</v>
      </c>
      <c r="W29" s="35">
        <f t="shared" si="7"/>
        <v>1.31</v>
      </c>
      <c r="X29" s="35">
        <f t="shared" si="8"/>
        <v>1.96</v>
      </c>
      <c r="Y29" s="31">
        <f t="shared" si="9"/>
        <v>96.73</v>
      </c>
      <c r="Z29" s="36">
        <f t="shared" ref="Z29:AD29" si="33">_xlfn.RANK.EQ(N29,$N29:$R29, 1)</f>
        <v>2</v>
      </c>
      <c r="AA29" s="36">
        <f t="shared" si="33"/>
        <v>1</v>
      </c>
      <c r="AB29" s="36">
        <f t="shared" si="33"/>
        <v>3</v>
      </c>
      <c r="AC29" s="36">
        <f t="shared" si="33"/>
        <v>4</v>
      </c>
      <c r="AD29" s="36">
        <f t="shared" si="33"/>
        <v>5</v>
      </c>
      <c r="AE29" s="37"/>
    </row>
    <row r="30">
      <c r="A30" s="39" t="s">
        <v>64</v>
      </c>
      <c r="B30" s="28">
        <v>14.0</v>
      </c>
      <c r="C30" s="28">
        <v>0.1</v>
      </c>
      <c r="D30" s="28">
        <v>2.0</v>
      </c>
      <c r="E30" s="28">
        <v>0.15</v>
      </c>
      <c r="F30" s="28">
        <v>1.0</v>
      </c>
      <c r="G30" s="28">
        <v>0.35</v>
      </c>
      <c r="H30" s="28">
        <v>1.0</v>
      </c>
      <c r="I30" s="28">
        <v>0.2</v>
      </c>
      <c r="J30" s="28">
        <v>4.0</v>
      </c>
      <c r="K30" s="28">
        <v>0.15</v>
      </c>
      <c r="L30" s="30">
        <v>0.05</v>
      </c>
      <c r="M30" s="31">
        <f t="shared" si="2"/>
        <v>1</v>
      </c>
      <c r="N30" s="32">
        <v>0.71</v>
      </c>
      <c r="O30" s="32">
        <v>0.0</v>
      </c>
      <c r="P30" s="32">
        <v>13.57</v>
      </c>
      <c r="Q30" s="32">
        <v>51.43</v>
      </c>
      <c r="R30" s="32">
        <v>34.29</v>
      </c>
      <c r="S30" s="34">
        <f t="shared" si="3"/>
        <v>100</v>
      </c>
      <c r="T30" s="35">
        <f t="shared" si="4"/>
        <v>0.71</v>
      </c>
      <c r="U30" s="35">
        <f t="shared" si="5"/>
        <v>99.29</v>
      </c>
      <c r="V30" s="34">
        <f t="shared" si="6"/>
        <v>100</v>
      </c>
      <c r="W30" s="35">
        <f t="shared" si="7"/>
        <v>0.71</v>
      </c>
      <c r="X30" s="35">
        <f t="shared" si="8"/>
        <v>13.57</v>
      </c>
      <c r="Y30" s="31">
        <f t="shared" si="9"/>
        <v>85.72</v>
      </c>
      <c r="Z30" s="36">
        <f t="shared" ref="Z30:AD30" si="34">_xlfn.RANK.EQ(N30,$N30:$R30, 1)</f>
        <v>2</v>
      </c>
      <c r="AA30" s="36">
        <f t="shared" si="34"/>
        <v>1</v>
      </c>
      <c r="AB30" s="36">
        <f t="shared" si="34"/>
        <v>3</v>
      </c>
      <c r="AC30" s="36">
        <f t="shared" si="34"/>
        <v>5</v>
      </c>
      <c r="AD30" s="36">
        <f t="shared" si="34"/>
        <v>4</v>
      </c>
      <c r="AE30" s="37"/>
    </row>
    <row r="31">
      <c r="A31" s="38" t="s">
        <v>65</v>
      </c>
      <c r="B31" s="28">
        <v>13.0</v>
      </c>
      <c r="C31" s="29">
        <v>0.1</v>
      </c>
      <c r="D31" s="28">
        <v>0.0</v>
      </c>
      <c r="E31" s="29">
        <v>0.0</v>
      </c>
      <c r="F31" s="28">
        <v>1.0</v>
      </c>
      <c r="G31" s="29">
        <v>0.25</v>
      </c>
      <c r="H31" s="28">
        <v>2.0</v>
      </c>
      <c r="I31" s="29">
        <v>0.4</v>
      </c>
      <c r="J31" s="28">
        <v>15.0</v>
      </c>
      <c r="K31" s="29">
        <v>0.15</v>
      </c>
      <c r="L31" s="30">
        <v>0.1</v>
      </c>
      <c r="M31" s="31">
        <f t="shared" si="2"/>
        <v>1</v>
      </c>
      <c r="N31" s="32">
        <v>2.74</v>
      </c>
      <c r="O31" s="32">
        <v>5.48</v>
      </c>
      <c r="P31" s="32">
        <v>41.1</v>
      </c>
      <c r="Q31" s="32">
        <v>35.62</v>
      </c>
      <c r="R31" s="32">
        <v>15.06</v>
      </c>
      <c r="S31" s="34">
        <f t="shared" si="3"/>
        <v>100</v>
      </c>
      <c r="T31" s="35">
        <f t="shared" si="4"/>
        <v>8.22</v>
      </c>
      <c r="U31" s="35">
        <f t="shared" si="5"/>
        <v>91.78</v>
      </c>
      <c r="V31" s="34">
        <f t="shared" si="6"/>
        <v>100</v>
      </c>
      <c r="W31" s="35">
        <f t="shared" si="7"/>
        <v>8.22</v>
      </c>
      <c r="X31" s="35">
        <f t="shared" si="8"/>
        <v>41.1</v>
      </c>
      <c r="Y31" s="31">
        <f t="shared" si="9"/>
        <v>50.68</v>
      </c>
      <c r="Z31" s="36">
        <f t="shared" ref="Z31:AD31" si="35">_xlfn.RANK.EQ(N31,$N31:$R31, 1)</f>
        <v>1</v>
      </c>
      <c r="AA31" s="36">
        <f t="shared" si="35"/>
        <v>2</v>
      </c>
      <c r="AB31" s="36">
        <f t="shared" si="35"/>
        <v>5</v>
      </c>
      <c r="AC31" s="36">
        <f t="shared" si="35"/>
        <v>4</v>
      </c>
      <c r="AD31" s="36">
        <f t="shared" si="35"/>
        <v>3</v>
      </c>
      <c r="AE31" s="37"/>
    </row>
    <row r="32">
      <c r="A32" s="38" t="s">
        <v>66</v>
      </c>
      <c r="B32" s="28">
        <v>0.0</v>
      </c>
      <c r="C32" s="29">
        <v>0.0</v>
      </c>
      <c r="D32" s="28">
        <v>0.0</v>
      </c>
      <c r="E32" s="29">
        <v>0.0</v>
      </c>
      <c r="F32" s="28">
        <v>1.0</v>
      </c>
      <c r="G32" s="29">
        <v>0.2</v>
      </c>
      <c r="H32" s="28">
        <v>3.0</v>
      </c>
      <c r="I32" s="29">
        <v>0.55</v>
      </c>
      <c r="J32" s="28">
        <v>15.0</v>
      </c>
      <c r="K32" s="29">
        <v>0.15</v>
      </c>
      <c r="L32" s="30">
        <v>0.1</v>
      </c>
      <c r="M32" s="31">
        <f t="shared" si="2"/>
        <v>1</v>
      </c>
      <c r="N32" s="32">
        <v>1.56</v>
      </c>
      <c r="O32" s="32">
        <v>10.94</v>
      </c>
      <c r="P32" s="32">
        <v>18.75</v>
      </c>
      <c r="Q32" s="32">
        <v>42.19</v>
      </c>
      <c r="R32" s="32">
        <v>26.56</v>
      </c>
      <c r="S32" s="34">
        <f t="shared" si="3"/>
        <v>100</v>
      </c>
      <c r="T32" s="35">
        <f t="shared" si="4"/>
        <v>12.5</v>
      </c>
      <c r="U32" s="35">
        <f t="shared" si="5"/>
        <v>87.5</v>
      </c>
      <c r="V32" s="34">
        <f t="shared" si="6"/>
        <v>100</v>
      </c>
      <c r="W32" s="35">
        <f t="shared" si="7"/>
        <v>12.5</v>
      </c>
      <c r="X32" s="35">
        <f t="shared" si="8"/>
        <v>18.75</v>
      </c>
      <c r="Y32" s="31">
        <f t="shared" si="9"/>
        <v>68.75</v>
      </c>
      <c r="Z32" s="36">
        <f t="shared" ref="Z32:AD32" si="36">_xlfn.RANK.EQ(N32,$N32:$R32, 1)</f>
        <v>1</v>
      </c>
      <c r="AA32" s="36">
        <f t="shared" si="36"/>
        <v>2</v>
      </c>
      <c r="AB32" s="36">
        <f t="shared" si="36"/>
        <v>3</v>
      </c>
      <c r="AC32" s="36">
        <f t="shared" si="36"/>
        <v>5</v>
      </c>
      <c r="AD32" s="36">
        <f t="shared" si="36"/>
        <v>4</v>
      </c>
      <c r="AE32" s="37"/>
    </row>
    <row r="33">
      <c r="A33" s="38" t="s">
        <v>67</v>
      </c>
      <c r="B33" s="28">
        <v>12.0</v>
      </c>
      <c r="C33" s="29">
        <v>0.05</v>
      </c>
      <c r="D33" s="28">
        <v>0.0</v>
      </c>
      <c r="E33" s="29">
        <v>0.0</v>
      </c>
      <c r="F33" s="28">
        <v>0.0</v>
      </c>
      <c r="G33" s="29">
        <v>0.0</v>
      </c>
      <c r="H33" s="28">
        <v>3.0</v>
      </c>
      <c r="I33" s="29">
        <v>0.8</v>
      </c>
      <c r="J33" s="28">
        <v>15.0</v>
      </c>
      <c r="K33" s="29">
        <v>0.15</v>
      </c>
      <c r="L33" s="30">
        <v>0.0</v>
      </c>
      <c r="M33" s="31">
        <f t="shared" si="2"/>
        <v>1</v>
      </c>
      <c r="N33" s="32">
        <v>1.39</v>
      </c>
      <c r="O33" s="32">
        <v>11.11</v>
      </c>
      <c r="P33" s="32">
        <v>33.33</v>
      </c>
      <c r="Q33" s="32">
        <v>36.11</v>
      </c>
      <c r="R33" s="32">
        <v>18.06</v>
      </c>
      <c r="S33" s="34">
        <f t="shared" si="3"/>
        <v>100</v>
      </c>
      <c r="T33" s="35">
        <f t="shared" si="4"/>
        <v>12.5</v>
      </c>
      <c r="U33" s="35">
        <f t="shared" si="5"/>
        <v>87.5</v>
      </c>
      <c r="V33" s="34">
        <f t="shared" si="6"/>
        <v>100</v>
      </c>
      <c r="W33" s="35">
        <f t="shared" si="7"/>
        <v>12.5</v>
      </c>
      <c r="X33" s="35">
        <f t="shared" si="8"/>
        <v>33.33</v>
      </c>
      <c r="Y33" s="31">
        <f t="shared" si="9"/>
        <v>54.17</v>
      </c>
      <c r="Z33" s="36">
        <f t="shared" ref="Z33:AD33" si="37">_xlfn.RANK.EQ(N33,$N33:$R33, 1)</f>
        <v>1</v>
      </c>
      <c r="AA33" s="36">
        <f t="shared" si="37"/>
        <v>2</v>
      </c>
      <c r="AB33" s="36">
        <f t="shared" si="37"/>
        <v>4</v>
      </c>
      <c r="AC33" s="36">
        <f t="shared" si="37"/>
        <v>5</v>
      </c>
      <c r="AD33" s="36">
        <f t="shared" si="37"/>
        <v>3</v>
      </c>
      <c r="AE33" s="37"/>
    </row>
    <row r="34">
      <c r="A34" s="39" t="s">
        <v>68</v>
      </c>
      <c r="B34" s="28">
        <v>10.0</v>
      </c>
      <c r="C34" s="29">
        <v>0.19</v>
      </c>
      <c r="D34" s="28">
        <v>0.0</v>
      </c>
      <c r="E34" s="29">
        <v>0.0</v>
      </c>
      <c r="F34" s="28">
        <v>0.0</v>
      </c>
      <c r="G34" s="29">
        <v>0.0</v>
      </c>
      <c r="H34" s="28">
        <v>3.0</v>
      </c>
      <c r="I34" s="29">
        <v>0.6</v>
      </c>
      <c r="J34" s="28">
        <v>7.0</v>
      </c>
      <c r="K34" s="29">
        <v>0.21</v>
      </c>
      <c r="L34" s="30">
        <v>0.0</v>
      </c>
      <c r="M34" s="31">
        <f t="shared" si="2"/>
        <v>1</v>
      </c>
      <c r="N34" s="32">
        <v>1.96</v>
      </c>
      <c r="O34" s="32">
        <v>1.96</v>
      </c>
      <c r="P34" s="32">
        <v>3.92</v>
      </c>
      <c r="Q34" s="32">
        <v>23.53</v>
      </c>
      <c r="R34" s="32">
        <v>68.63</v>
      </c>
      <c r="S34" s="34">
        <f t="shared" si="3"/>
        <v>100</v>
      </c>
      <c r="T34" s="35">
        <f t="shared" si="4"/>
        <v>3.92</v>
      </c>
      <c r="U34" s="35">
        <f t="shared" si="5"/>
        <v>96.08</v>
      </c>
      <c r="V34" s="34">
        <f t="shared" si="6"/>
        <v>100</v>
      </c>
      <c r="W34" s="35">
        <f t="shared" si="7"/>
        <v>3.92</v>
      </c>
      <c r="X34" s="35">
        <f t="shared" si="8"/>
        <v>3.92</v>
      </c>
      <c r="Y34" s="31">
        <f t="shared" si="9"/>
        <v>92.16</v>
      </c>
      <c r="Z34" s="36">
        <f t="shared" ref="Z34:AD34" si="38">_xlfn.RANK.EQ(N34,$N34:$R34, 1)</f>
        <v>1</v>
      </c>
      <c r="AA34" s="36">
        <f t="shared" si="38"/>
        <v>1</v>
      </c>
      <c r="AB34" s="36">
        <f t="shared" si="38"/>
        <v>3</v>
      </c>
      <c r="AC34" s="36">
        <f t="shared" si="38"/>
        <v>4</v>
      </c>
      <c r="AD34" s="36">
        <f t="shared" si="38"/>
        <v>5</v>
      </c>
      <c r="AE34" s="37"/>
    </row>
    <row r="35">
      <c r="A35" s="40" t="s">
        <v>69</v>
      </c>
      <c r="B35" s="28">
        <v>8.0</v>
      </c>
      <c r="C35" s="29">
        <v>0.08</v>
      </c>
      <c r="D35" s="28">
        <v>1.0</v>
      </c>
      <c r="E35" s="29">
        <v>0.15</v>
      </c>
      <c r="F35" s="28">
        <v>1.0</v>
      </c>
      <c r="G35" s="29">
        <v>0.3</v>
      </c>
      <c r="H35" s="28">
        <v>2.0</v>
      </c>
      <c r="I35" s="29">
        <v>0.44</v>
      </c>
      <c r="J35" s="28">
        <v>0.0</v>
      </c>
      <c r="K35" s="29">
        <v>0.0</v>
      </c>
      <c r="L35" s="30">
        <v>0.03</v>
      </c>
      <c r="M35" s="31">
        <f t="shared" si="2"/>
        <v>1</v>
      </c>
      <c r="N35" s="32">
        <v>0.0</v>
      </c>
      <c r="O35" s="32">
        <v>11.37</v>
      </c>
      <c r="P35" s="32">
        <v>9.09</v>
      </c>
      <c r="Q35" s="32">
        <v>36.36</v>
      </c>
      <c r="R35" s="32">
        <v>43.18</v>
      </c>
      <c r="S35" s="34">
        <f t="shared" si="3"/>
        <v>100</v>
      </c>
      <c r="T35" s="35">
        <f t="shared" si="4"/>
        <v>11.37</v>
      </c>
      <c r="U35" s="35">
        <f t="shared" si="5"/>
        <v>88.63</v>
      </c>
      <c r="V35" s="34">
        <f t="shared" si="6"/>
        <v>100</v>
      </c>
      <c r="W35" s="35">
        <f t="shared" si="7"/>
        <v>11.37</v>
      </c>
      <c r="X35" s="35">
        <f t="shared" si="8"/>
        <v>9.09</v>
      </c>
      <c r="Y35" s="31">
        <f t="shared" si="9"/>
        <v>79.54</v>
      </c>
      <c r="Z35" s="36">
        <f t="shared" ref="Z35:AD35" si="39">_xlfn.RANK.EQ(N35,$N35:$R35, 1)</f>
        <v>1</v>
      </c>
      <c r="AA35" s="36">
        <f t="shared" si="39"/>
        <v>3</v>
      </c>
      <c r="AB35" s="36">
        <f t="shared" si="39"/>
        <v>2</v>
      </c>
      <c r="AC35" s="36">
        <f t="shared" si="39"/>
        <v>4</v>
      </c>
      <c r="AD35" s="36">
        <f t="shared" si="39"/>
        <v>5</v>
      </c>
      <c r="AE35" s="37"/>
    </row>
    <row r="36">
      <c r="A36" s="39" t="s">
        <v>70</v>
      </c>
      <c r="B36" s="28">
        <v>13.0</v>
      </c>
      <c r="C36" s="29">
        <v>0.27</v>
      </c>
      <c r="D36" s="28">
        <v>0.0</v>
      </c>
      <c r="E36" s="29">
        <v>0.0</v>
      </c>
      <c r="F36" s="28">
        <v>1.0</v>
      </c>
      <c r="G36" s="29">
        <v>0.3</v>
      </c>
      <c r="H36" s="28">
        <v>2.0</v>
      </c>
      <c r="I36" s="29">
        <v>0.38</v>
      </c>
      <c r="J36" s="28">
        <v>0.0</v>
      </c>
      <c r="K36" s="29">
        <v>0.0</v>
      </c>
      <c r="L36" s="30">
        <v>0.05</v>
      </c>
      <c r="M36" s="31">
        <f t="shared" si="2"/>
        <v>1</v>
      </c>
      <c r="N36" s="32">
        <v>3.57</v>
      </c>
      <c r="O36" s="32">
        <v>3.57</v>
      </c>
      <c r="P36" s="32">
        <v>17.86</v>
      </c>
      <c r="Q36" s="32">
        <v>32.14</v>
      </c>
      <c r="R36" s="32">
        <v>42.86</v>
      </c>
      <c r="S36" s="34">
        <f t="shared" si="3"/>
        <v>100</v>
      </c>
      <c r="T36" s="35">
        <f t="shared" si="4"/>
        <v>7.14</v>
      </c>
      <c r="U36" s="35">
        <f t="shared" si="5"/>
        <v>92.86</v>
      </c>
      <c r="V36" s="34">
        <f t="shared" si="6"/>
        <v>100</v>
      </c>
      <c r="W36" s="35">
        <f t="shared" si="7"/>
        <v>7.14</v>
      </c>
      <c r="X36" s="35">
        <f t="shared" si="8"/>
        <v>17.86</v>
      </c>
      <c r="Y36" s="31">
        <f t="shared" si="9"/>
        <v>75</v>
      </c>
      <c r="Z36" s="36">
        <f t="shared" ref="Z36:AD36" si="40">_xlfn.RANK.EQ(N36,$N36:$R36, 1)</f>
        <v>1</v>
      </c>
      <c r="AA36" s="36">
        <f t="shared" si="40"/>
        <v>1</v>
      </c>
      <c r="AB36" s="36">
        <f t="shared" si="40"/>
        <v>3</v>
      </c>
      <c r="AC36" s="36">
        <f t="shared" si="40"/>
        <v>4</v>
      </c>
      <c r="AD36" s="36">
        <f t="shared" si="40"/>
        <v>5</v>
      </c>
      <c r="AE36" s="37"/>
    </row>
    <row r="37">
      <c r="A37" s="38" t="s">
        <v>71</v>
      </c>
      <c r="B37" s="28">
        <v>12.0</v>
      </c>
      <c r="C37" s="29">
        <v>0.4</v>
      </c>
      <c r="D37" s="28">
        <v>2.0</v>
      </c>
      <c r="E37" s="29">
        <v>0.3</v>
      </c>
      <c r="F37" s="28">
        <v>0.0</v>
      </c>
      <c r="G37" s="29">
        <v>0.0</v>
      </c>
      <c r="H37" s="28">
        <v>2.0</v>
      </c>
      <c r="I37" s="29">
        <v>0.3</v>
      </c>
      <c r="J37" s="28">
        <v>0.0</v>
      </c>
      <c r="K37" s="29">
        <v>0.0</v>
      </c>
      <c r="L37" s="30">
        <v>0.0</v>
      </c>
      <c r="M37" s="31">
        <f t="shared" si="2"/>
        <v>1</v>
      </c>
      <c r="N37" s="32">
        <v>0.0</v>
      </c>
      <c r="O37" s="32">
        <f>100*1/24</f>
        <v>4.166666667</v>
      </c>
      <c r="P37" s="32">
        <v>0.0</v>
      </c>
      <c r="Q37" s="32">
        <f>100*10/24</f>
        <v>41.66666667</v>
      </c>
      <c r="R37" s="32">
        <f>100*13/24</f>
        <v>54.16666667</v>
      </c>
      <c r="S37" s="34">
        <f t="shared" si="3"/>
        <v>100</v>
      </c>
      <c r="T37" s="35">
        <f t="shared" si="4"/>
        <v>4.166666667</v>
      </c>
      <c r="U37" s="35">
        <f t="shared" si="5"/>
        <v>95.83333333</v>
      </c>
      <c r="V37" s="34">
        <f t="shared" si="6"/>
        <v>100</v>
      </c>
      <c r="W37" s="35">
        <f t="shared" si="7"/>
        <v>4.166666667</v>
      </c>
      <c r="X37" s="35">
        <f t="shared" si="8"/>
        <v>0</v>
      </c>
      <c r="Y37" s="31">
        <f t="shared" si="9"/>
        <v>95.83333333</v>
      </c>
      <c r="Z37" s="36">
        <f t="shared" ref="Z37:AD37" si="41">_xlfn.RANK.EQ(N37,$N37:$R37, 1)</f>
        <v>1</v>
      </c>
      <c r="AA37" s="36">
        <f t="shared" si="41"/>
        <v>3</v>
      </c>
      <c r="AB37" s="36">
        <f t="shared" si="41"/>
        <v>1</v>
      </c>
      <c r="AC37" s="36">
        <f t="shared" si="41"/>
        <v>4</v>
      </c>
      <c r="AD37" s="36">
        <f t="shared" si="41"/>
        <v>5</v>
      </c>
      <c r="AE37" s="37"/>
    </row>
    <row r="38">
      <c r="A38" s="38" t="s">
        <v>72</v>
      </c>
      <c r="B38" s="28">
        <v>5.0</v>
      </c>
      <c r="C38" s="29">
        <v>0.5</v>
      </c>
      <c r="D38" s="28">
        <v>0.0</v>
      </c>
      <c r="E38" s="29">
        <v>0.0</v>
      </c>
      <c r="F38" s="28">
        <v>0.0</v>
      </c>
      <c r="G38" s="29">
        <v>0.0</v>
      </c>
      <c r="H38" s="28">
        <v>2.0</v>
      </c>
      <c r="I38" s="29">
        <v>0.5</v>
      </c>
      <c r="J38" s="28">
        <v>0.0</v>
      </c>
      <c r="K38" s="29">
        <v>0.0</v>
      </c>
      <c r="L38" s="30">
        <v>0.0</v>
      </c>
      <c r="M38" s="31">
        <f t="shared" si="2"/>
        <v>1</v>
      </c>
      <c r="N38" s="41">
        <f>100*1/(36+14+11+1)</f>
        <v>1.612903226</v>
      </c>
      <c r="O38" s="42">
        <f>100*0/(36+14+11+1)</f>
        <v>0</v>
      </c>
      <c r="P38" s="42">
        <f>100*11/(36+14+11+1)</f>
        <v>17.74193548</v>
      </c>
      <c r="Q38" s="42">
        <f>100*14/(36+14+11+1)</f>
        <v>22.58064516</v>
      </c>
      <c r="R38" s="42">
        <f>100*36/(36+14+11+1)</f>
        <v>58.06451613</v>
      </c>
      <c r="S38" s="34">
        <f t="shared" si="3"/>
        <v>100</v>
      </c>
      <c r="T38" s="35">
        <f t="shared" si="4"/>
        <v>1.612903226</v>
      </c>
      <c r="U38" s="35">
        <f t="shared" si="5"/>
        <v>98.38709677</v>
      </c>
      <c r="V38" s="34">
        <f t="shared" si="6"/>
        <v>100</v>
      </c>
      <c r="W38" s="35">
        <f t="shared" si="7"/>
        <v>1.612903226</v>
      </c>
      <c r="X38" s="35">
        <f t="shared" si="8"/>
        <v>17.74193548</v>
      </c>
      <c r="Y38" s="31">
        <f t="shared" si="9"/>
        <v>80.64516129</v>
      </c>
      <c r="Z38" s="36">
        <f t="shared" ref="Z38:AD38" si="42">_xlfn.RANK.EQ(N38,$N38:$R38, 1)</f>
        <v>2</v>
      </c>
      <c r="AA38" s="36">
        <f t="shared" si="42"/>
        <v>1</v>
      </c>
      <c r="AB38" s="36">
        <f t="shared" si="42"/>
        <v>3</v>
      </c>
      <c r="AC38" s="36">
        <f t="shared" si="42"/>
        <v>4</v>
      </c>
      <c r="AD38" s="36">
        <f t="shared" si="42"/>
        <v>5</v>
      </c>
      <c r="AE38" s="37"/>
    </row>
    <row r="39">
      <c r="A39" s="39" t="s">
        <v>73</v>
      </c>
      <c r="B39" s="28">
        <v>21.0</v>
      </c>
      <c r="C39" s="29">
        <v>0.7</v>
      </c>
      <c r="D39" s="28">
        <v>1.0</v>
      </c>
      <c r="E39" s="29">
        <v>0.3</v>
      </c>
      <c r="F39" s="28">
        <v>0.0</v>
      </c>
      <c r="G39" s="29">
        <v>0.0</v>
      </c>
      <c r="H39" s="28">
        <v>0.0</v>
      </c>
      <c r="I39" s="29">
        <v>0.0</v>
      </c>
      <c r="J39" s="28">
        <v>0.0</v>
      </c>
      <c r="K39" s="29">
        <v>0.0</v>
      </c>
      <c r="L39" s="30">
        <v>0.0</v>
      </c>
      <c r="M39" s="31">
        <f t="shared" si="2"/>
        <v>1</v>
      </c>
      <c r="N39" s="32">
        <v>3.77</v>
      </c>
      <c r="O39" s="32">
        <v>1.89</v>
      </c>
      <c r="P39" s="32">
        <v>3.77</v>
      </c>
      <c r="Q39" s="32">
        <v>15.09</v>
      </c>
      <c r="R39" s="32">
        <v>75.48</v>
      </c>
      <c r="S39" s="34">
        <f t="shared" si="3"/>
        <v>100</v>
      </c>
      <c r="T39" s="35">
        <f t="shared" si="4"/>
        <v>5.66</v>
      </c>
      <c r="U39" s="35">
        <f t="shared" si="5"/>
        <v>94.34</v>
      </c>
      <c r="V39" s="34">
        <f t="shared" si="6"/>
        <v>100</v>
      </c>
      <c r="W39" s="35">
        <f t="shared" si="7"/>
        <v>5.66</v>
      </c>
      <c r="X39" s="35">
        <f t="shared" si="8"/>
        <v>3.77</v>
      </c>
      <c r="Y39" s="31">
        <f t="shared" si="9"/>
        <v>90.57</v>
      </c>
      <c r="Z39" s="36">
        <f t="shared" ref="Z39:AD39" si="43">_xlfn.RANK.EQ(N39,$N39:$R39, 1)</f>
        <v>2</v>
      </c>
      <c r="AA39" s="36">
        <f t="shared" si="43"/>
        <v>1</v>
      </c>
      <c r="AB39" s="36">
        <f t="shared" si="43"/>
        <v>2</v>
      </c>
      <c r="AC39" s="36">
        <f t="shared" si="43"/>
        <v>4</v>
      </c>
      <c r="AD39" s="36">
        <f t="shared" si="43"/>
        <v>5</v>
      </c>
      <c r="AE39" s="37"/>
    </row>
    <row r="40">
      <c r="A40" s="38" t="s">
        <v>74</v>
      </c>
      <c r="B40" s="28">
        <v>15.0</v>
      </c>
      <c r="C40" s="29">
        <v>0.15</v>
      </c>
      <c r="D40" s="28">
        <v>3.0</v>
      </c>
      <c r="E40" s="29">
        <v>0.3</v>
      </c>
      <c r="F40" s="28">
        <v>1.0</v>
      </c>
      <c r="G40" s="29">
        <v>0.2</v>
      </c>
      <c r="H40" s="28">
        <v>1.0</v>
      </c>
      <c r="I40" s="29">
        <v>0.2</v>
      </c>
      <c r="J40" s="28">
        <v>6.0</v>
      </c>
      <c r="K40" s="29">
        <v>0.15</v>
      </c>
      <c r="L40" s="30">
        <v>0.0</v>
      </c>
      <c r="M40" s="31">
        <f t="shared" si="2"/>
        <v>1</v>
      </c>
      <c r="N40" s="32">
        <v>5.37</v>
      </c>
      <c r="O40" s="32">
        <v>5.37</v>
      </c>
      <c r="P40" s="32">
        <v>8.72</v>
      </c>
      <c r="Q40" s="32">
        <v>26.85</v>
      </c>
      <c r="R40" s="32">
        <v>53.69</v>
      </c>
      <c r="S40" s="34">
        <f t="shared" si="3"/>
        <v>100</v>
      </c>
      <c r="T40" s="35">
        <f t="shared" si="4"/>
        <v>10.74</v>
      </c>
      <c r="U40" s="35">
        <f t="shared" si="5"/>
        <v>89.26</v>
      </c>
      <c r="V40" s="34">
        <f t="shared" si="6"/>
        <v>100</v>
      </c>
      <c r="W40" s="35">
        <f t="shared" si="7"/>
        <v>10.74</v>
      </c>
      <c r="X40" s="35">
        <f t="shared" si="8"/>
        <v>8.72</v>
      </c>
      <c r="Y40" s="31">
        <f t="shared" si="9"/>
        <v>80.54</v>
      </c>
      <c r="Z40" s="36">
        <f t="shared" ref="Z40:AD40" si="44">_xlfn.RANK.EQ(N40,$N40:$R40, 1)</f>
        <v>1</v>
      </c>
      <c r="AA40" s="36">
        <f t="shared" si="44"/>
        <v>1</v>
      </c>
      <c r="AB40" s="36">
        <f t="shared" si="44"/>
        <v>3</v>
      </c>
      <c r="AC40" s="36">
        <f t="shared" si="44"/>
        <v>4</v>
      </c>
      <c r="AD40" s="36">
        <f t="shared" si="44"/>
        <v>5</v>
      </c>
      <c r="AE40" s="37"/>
    </row>
    <row r="41">
      <c r="A41" s="38" t="s">
        <v>75</v>
      </c>
      <c r="B41" s="28">
        <v>15.0</v>
      </c>
      <c r="C41" s="29">
        <v>0.15</v>
      </c>
      <c r="D41" s="28">
        <v>3.0</v>
      </c>
      <c r="E41" s="29">
        <v>0.3</v>
      </c>
      <c r="F41" s="28">
        <v>1.0</v>
      </c>
      <c r="G41" s="29">
        <v>0.2</v>
      </c>
      <c r="H41" s="28">
        <v>1.0</v>
      </c>
      <c r="I41" s="29">
        <v>0.2</v>
      </c>
      <c r="J41" s="28">
        <v>6.0</v>
      </c>
      <c r="K41" s="29">
        <v>0.15</v>
      </c>
      <c r="L41" s="30">
        <v>0.0</v>
      </c>
      <c r="M41" s="31">
        <f t="shared" si="2"/>
        <v>1</v>
      </c>
      <c r="N41" s="32">
        <v>3.21</v>
      </c>
      <c r="O41" s="32">
        <v>1.92</v>
      </c>
      <c r="P41" s="32">
        <v>10.9</v>
      </c>
      <c r="Q41" s="32">
        <v>26.28</v>
      </c>
      <c r="R41" s="32">
        <v>57.69</v>
      </c>
      <c r="S41" s="34">
        <f t="shared" si="3"/>
        <v>100</v>
      </c>
      <c r="T41" s="35">
        <f t="shared" si="4"/>
        <v>5.13</v>
      </c>
      <c r="U41" s="35">
        <f t="shared" si="5"/>
        <v>94.87</v>
      </c>
      <c r="V41" s="34">
        <f t="shared" si="6"/>
        <v>100</v>
      </c>
      <c r="W41" s="35">
        <f t="shared" si="7"/>
        <v>5.13</v>
      </c>
      <c r="X41" s="35">
        <f t="shared" si="8"/>
        <v>10.9</v>
      </c>
      <c r="Y41" s="31">
        <f t="shared" si="9"/>
        <v>83.97</v>
      </c>
      <c r="Z41" s="36">
        <f t="shared" ref="Z41:AD41" si="45">_xlfn.RANK.EQ(N41,$N41:$R41, 1)</f>
        <v>2</v>
      </c>
      <c r="AA41" s="36">
        <f t="shared" si="45"/>
        <v>1</v>
      </c>
      <c r="AB41" s="36">
        <f t="shared" si="45"/>
        <v>3</v>
      </c>
      <c r="AC41" s="36">
        <f t="shared" si="45"/>
        <v>4</v>
      </c>
      <c r="AD41" s="36">
        <f t="shared" si="45"/>
        <v>5</v>
      </c>
      <c r="AE41" s="37"/>
    </row>
    <row r="42">
      <c r="A42" s="38" t="s">
        <v>76</v>
      </c>
      <c r="B42" s="28">
        <v>15.0</v>
      </c>
      <c r="C42" s="29">
        <v>0.15</v>
      </c>
      <c r="D42" s="28">
        <v>3.0</v>
      </c>
      <c r="E42" s="29">
        <v>0.3</v>
      </c>
      <c r="F42" s="28">
        <v>1.0</v>
      </c>
      <c r="G42" s="29">
        <v>0.2</v>
      </c>
      <c r="H42" s="28">
        <v>1.0</v>
      </c>
      <c r="I42" s="29">
        <v>0.2</v>
      </c>
      <c r="J42" s="28">
        <v>6.0</v>
      </c>
      <c r="K42" s="29">
        <v>0.15</v>
      </c>
      <c r="L42" s="30">
        <v>0.0</v>
      </c>
      <c r="M42" s="31">
        <f t="shared" si="2"/>
        <v>1</v>
      </c>
      <c r="N42" s="32">
        <v>6.54</v>
      </c>
      <c r="O42" s="32">
        <v>2.61</v>
      </c>
      <c r="P42" s="32">
        <v>15.03</v>
      </c>
      <c r="Q42" s="32">
        <v>17.65</v>
      </c>
      <c r="R42" s="32">
        <v>58.17</v>
      </c>
      <c r="S42" s="34">
        <f t="shared" si="3"/>
        <v>100</v>
      </c>
      <c r="T42" s="35">
        <f t="shared" si="4"/>
        <v>9.15</v>
      </c>
      <c r="U42" s="35">
        <f t="shared" si="5"/>
        <v>90.85</v>
      </c>
      <c r="V42" s="34">
        <f t="shared" si="6"/>
        <v>100</v>
      </c>
      <c r="W42" s="35">
        <f t="shared" si="7"/>
        <v>9.15</v>
      </c>
      <c r="X42" s="35">
        <f t="shared" si="8"/>
        <v>15.03</v>
      </c>
      <c r="Y42" s="31">
        <f t="shared" si="9"/>
        <v>75.82</v>
      </c>
      <c r="Z42" s="36">
        <f t="shared" ref="Z42:AD42" si="46">_xlfn.RANK.EQ(N42,$N42:$R42, 1)</f>
        <v>2</v>
      </c>
      <c r="AA42" s="36">
        <f t="shared" si="46"/>
        <v>1</v>
      </c>
      <c r="AB42" s="36">
        <f t="shared" si="46"/>
        <v>3</v>
      </c>
      <c r="AC42" s="36">
        <f t="shared" si="46"/>
        <v>4</v>
      </c>
      <c r="AD42" s="36">
        <f t="shared" si="46"/>
        <v>5</v>
      </c>
      <c r="AE42" s="37"/>
    </row>
    <row r="43">
      <c r="A43" s="40" t="s">
        <v>77</v>
      </c>
      <c r="B43" s="28">
        <v>7.0</v>
      </c>
      <c r="C43" s="29">
        <v>0.5</v>
      </c>
      <c r="D43" s="28">
        <v>0.0</v>
      </c>
      <c r="E43" s="29">
        <v>0.0</v>
      </c>
      <c r="F43" s="28">
        <v>1.0</v>
      </c>
      <c r="G43" s="29">
        <v>0.3</v>
      </c>
      <c r="H43" s="28">
        <v>1.0</v>
      </c>
      <c r="I43" s="29">
        <v>0.2</v>
      </c>
      <c r="J43" s="28">
        <v>0.0</v>
      </c>
      <c r="K43" s="29">
        <v>0.0</v>
      </c>
      <c r="L43" s="30">
        <v>0.0</v>
      </c>
      <c r="M43" s="31">
        <f t="shared" si="2"/>
        <v>1</v>
      </c>
      <c r="N43" s="32">
        <v>0.0</v>
      </c>
      <c r="O43" s="32">
        <v>2.5</v>
      </c>
      <c r="P43" s="32">
        <v>7.5</v>
      </c>
      <c r="Q43" s="32">
        <v>40.0</v>
      </c>
      <c r="R43" s="32">
        <v>50.0</v>
      </c>
      <c r="S43" s="34">
        <f t="shared" si="3"/>
        <v>100</v>
      </c>
      <c r="T43" s="35">
        <f t="shared" si="4"/>
        <v>2.5</v>
      </c>
      <c r="U43" s="35">
        <f t="shared" si="5"/>
        <v>97.5</v>
      </c>
      <c r="V43" s="34">
        <f t="shared" si="6"/>
        <v>100</v>
      </c>
      <c r="W43" s="35">
        <f t="shared" si="7"/>
        <v>2.5</v>
      </c>
      <c r="X43" s="35">
        <f t="shared" si="8"/>
        <v>7.5</v>
      </c>
      <c r="Y43" s="31">
        <f t="shared" si="9"/>
        <v>90</v>
      </c>
      <c r="Z43" s="36">
        <f t="shared" ref="Z43:AD43" si="47">_xlfn.RANK.EQ(N43,$N43:$R43, 1)</f>
        <v>1</v>
      </c>
      <c r="AA43" s="36">
        <f t="shared" si="47"/>
        <v>2</v>
      </c>
      <c r="AB43" s="36">
        <f t="shared" si="47"/>
        <v>3</v>
      </c>
      <c r="AC43" s="36">
        <f t="shared" si="47"/>
        <v>4</v>
      </c>
      <c r="AD43" s="36">
        <f t="shared" si="47"/>
        <v>5</v>
      </c>
      <c r="AE43" s="37"/>
    </row>
    <row r="44">
      <c r="A44" s="38" t="s">
        <v>78</v>
      </c>
      <c r="B44" s="28">
        <v>7.0</v>
      </c>
      <c r="C44" s="29">
        <v>0.55</v>
      </c>
      <c r="D44" s="28">
        <v>0.0</v>
      </c>
      <c r="E44" s="29">
        <v>0.0</v>
      </c>
      <c r="F44" s="28">
        <v>0.0</v>
      </c>
      <c r="G44" s="29">
        <v>0.0</v>
      </c>
      <c r="H44" s="28">
        <v>2.0</v>
      </c>
      <c r="I44" s="29">
        <v>0.45</v>
      </c>
      <c r="J44" s="28">
        <v>0.0</v>
      </c>
      <c r="K44" s="29">
        <v>0.0</v>
      </c>
      <c r="L44" s="30">
        <v>0.0</v>
      </c>
      <c r="M44" s="31">
        <f t="shared" si="2"/>
        <v>1</v>
      </c>
      <c r="N44" s="32">
        <v>0.0</v>
      </c>
      <c r="O44" s="32">
        <v>0.0</v>
      </c>
      <c r="P44" s="32">
        <v>18.18</v>
      </c>
      <c r="Q44" s="32">
        <v>36.37</v>
      </c>
      <c r="R44" s="32">
        <v>45.45</v>
      </c>
      <c r="S44" s="34">
        <f t="shared" si="3"/>
        <v>100</v>
      </c>
      <c r="T44" s="35">
        <f t="shared" si="4"/>
        <v>0</v>
      </c>
      <c r="U44" s="35">
        <f t="shared" si="5"/>
        <v>100</v>
      </c>
      <c r="V44" s="34">
        <f t="shared" si="6"/>
        <v>100</v>
      </c>
      <c r="W44" s="35">
        <f t="shared" si="7"/>
        <v>0</v>
      </c>
      <c r="X44" s="35">
        <f t="shared" si="8"/>
        <v>18.18</v>
      </c>
      <c r="Y44" s="31">
        <f t="shared" si="9"/>
        <v>81.82</v>
      </c>
      <c r="Z44" s="36">
        <f t="shared" ref="Z44:AD44" si="48">_xlfn.RANK.EQ(N44,$N44:$R44, 1)</f>
        <v>1</v>
      </c>
      <c r="AA44" s="36">
        <f t="shared" si="48"/>
        <v>1</v>
      </c>
      <c r="AB44" s="36">
        <f t="shared" si="48"/>
        <v>3</v>
      </c>
      <c r="AC44" s="36">
        <f t="shared" si="48"/>
        <v>4</v>
      </c>
      <c r="AD44" s="36">
        <f t="shared" si="48"/>
        <v>5</v>
      </c>
      <c r="AE44" s="37"/>
    </row>
    <row r="45">
      <c r="A45" s="39" t="s">
        <v>79</v>
      </c>
      <c r="B45" s="28">
        <v>11.0</v>
      </c>
      <c r="C45" s="29">
        <v>0.22</v>
      </c>
      <c r="D45" s="28">
        <v>0.0</v>
      </c>
      <c r="E45" s="29">
        <v>0.0</v>
      </c>
      <c r="F45" s="28">
        <v>1.0</v>
      </c>
      <c r="G45" s="29">
        <v>0.24</v>
      </c>
      <c r="H45" s="28">
        <v>2.0</v>
      </c>
      <c r="I45" s="29">
        <v>0.49</v>
      </c>
      <c r="J45" s="28">
        <v>10.0</v>
      </c>
      <c r="K45" s="29">
        <v>0.05</v>
      </c>
      <c r="L45" s="30">
        <v>0.0</v>
      </c>
      <c r="M45" s="31">
        <f t="shared" si="2"/>
        <v>1</v>
      </c>
      <c r="N45" s="32">
        <v>2.42</v>
      </c>
      <c r="O45" s="32">
        <v>5.14</v>
      </c>
      <c r="P45" s="32">
        <v>18.72</v>
      </c>
      <c r="Q45" s="32">
        <v>35.35</v>
      </c>
      <c r="R45" s="32">
        <v>38.37</v>
      </c>
      <c r="S45" s="34">
        <f t="shared" si="3"/>
        <v>100</v>
      </c>
      <c r="T45" s="35">
        <f t="shared" si="4"/>
        <v>7.56</v>
      </c>
      <c r="U45" s="35">
        <f t="shared" si="5"/>
        <v>92.44</v>
      </c>
      <c r="V45" s="34">
        <f t="shared" si="6"/>
        <v>100</v>
      </c>
      <c r="W45" s="35">
        <f t="shared" si="7"/>
        <v>7.56</v>
      </c>
      <c r="X45" s="35">
        <f t="shared" si="8"/>
        <v>18.72</v>
      </c>
      <c r="Y45" s="31">
        <f t="shared" si="9"/>
        <v>73.72</v>
      </c>
      <c r="Z45" s="36">
        <f t="shared" ref="Z45:AD45" si="49">_xlfn.RANK.EQ(N45,$N45:$R45, 1)</f>
        <v>1</v>
      </c>
      <c r="AA45" s="36">
        <f t="shared" si="49"/>
        <v>2</v>
      </c>
      <c r="AB45" s="36">
        <f t="shared" si="49"/>
        <v>3</v>
      </c>
      <c r="AC45" s="36">
        <f t="shared" si="49"/>
        <v>4</v>
      </c>
      <c r="AD45" s="36">
        <f t="shared" si="49"/>
        <v>5</v>
      </c>
      <c r="AE45" s="37"/>
    </row>
    <row r="46">
      <c r="A46" s="38" t="s">
        <v>80</v>
      </c>
      <c r="B46" s="28">
        <v>0.0</v>
      </c>
      <c r="C46" s="29">
        <v>0.0</v>
      </c>
      <c r="D46" s="28">
        <v>4.0</v>
      </c>
      <c r="E46" s="29">
        <v>0.6</v>
      </c>
      <c r="F46" s="28">
        <v>0.0</v>
      </c>
      <c r="G46" s="29">
        <v>0.0</v>
      </c>
      <c r="H46" s="28">
        <v>0.0</v>
      </c>
      <c r="I46" s="29">
        <v>0.0</v>
      </c>
      <c r="J46" s="28">
        <v>3.0</v>
      </c>
      <c r="K46" s="29">
        <v>0.3</v>
      </c>
      <c r="L46" s="30">
        <v>0.1</v>
      </c>
      <c r="M46" s="31">
        <f t="shared" si="2"/>
        <v>1</v>
      </c>
      <c r="N46" s="32">
        <v>0.0</v>
      </c>
      <c r="O46" s="32">
        <v>0.0</v>
      </c>
      <c r="P46" s="32">
        <v>0.0</v>
      </c>
      <c r="Q46" s="32">
        <f>100/28</f>
        <v>3.571428571</v>
      </c>
      <c r="R46" s="32">
        <f>100*27/28</f>
        <v>96.42857143</v>
      </c>
      <c r="S46" s="34">
        <f t="shared" si="3"/>
        <v>100</v>
      </c>
      <c r="T46" s="35">
        <f t="shared" si="4"/>
        <v>0</v>
      </c>
      <c r="U46" s="35">
        <f t="shared" si="5"/>
        <v>100</v>
      </c>
      <c r="V46" s="34">
        <f t="shared" si="6"/>
        <v>100</v>
      </c>
      <c r="W46" s="35">
        <f t="shared" si="7"/>
        <v>0</v>
      </c>
      <c r="X46" s="35">
        <f t="shared" si="8"/>
        <v>0</v>
      </c>
      <c r="Y46" s="31">
        <f t="shared" si="9"/>
        <v>100</v>
      </c>
      <c r="Z46" s="36">
        <f t="shared" ref="Z46:AD46" si="50">_xlfn.RANK.EQ(N46,$N46:$R46, 1)</f>
        <v>1</v>
      </c>
      <c r="AA46" s="36">
        <f t="shared" si="50"/>
        <v>1</v>
      </c>
      <c r="AB46" s="36">
        <f t="shared" si="50"/>
        <v>1</v>
      </c>
      <c r="AC46" s="36">
        <f t="shared" si="50"/>
        <v>4</v>
      </c>
      <c r="AD46" s="36">
        <f t="shared" si="50"/>
        <v>5</v>
      </c>
      <c r="AE46" s="37"/>
    </row>
    <row r="47">
      <c r="A47" s="38" t="s">
        <v>81</v>
      </c>
      <c r="B47" s="28">
        <v>11.0</v>
      </c>
      <c r="C47" s="29">
        <v>0.6</v>
      </c>
      <c r="D47" s="28">
        <v>1.0</v>
      </c>
      <c r="E47" s="29">
        <v>0.4</v>
      </c>
      <c r="F47" s="28">
        <v>0.0</v>
      </c>
      <c r="G47" s="29">
        <v>0.0</v>
      </c>
      <c r="H47" s="28">
        <v>0.0</v>
      </c>
      <c r="I47" s="29">
        <v>0.0</v>
      </c>
      <c r="J47" s="28">
        <v>0.0</v>
      </c>
      <c r="K47" s="29">
        <v>0.0</v>
      </c>
      <c r="L47" s="30">
        <v>0.0</v>
      </c>
      <c r="M47" s="31">
        <f t="shared" si="2"/>
        <v>1</v>
      </c>
      <c r="N47" s="32">
        <v>0.0</v>
      </c>
      <c r="O47" s="32">
        <v>0.0</v>
      </c>
      <c r="P47" s="32">
        <f t="shared" ref="P47:Q47" si="51">1/8*100</f>
        <v>12.5</v>
      </c>
      <c r="Q47" s="32">
        <f t="shared" si="51"/>
        <v>12.5</v>
      </c>
      <c r="R47" s="32">
        <f>6/8*100</f>
        <v>75</v>
      </c>
      <c r="S47" s="34">
        <f t="shared" si="3"/>
        <v>100</v>
      </c>
      <c r="T47" s="35">
        <f t="shared" si="4"/>
        <v>0</v>
      </c>
      <c r="U47" s="35">
        <f t="shared" si="5"/>
        <v>100</v>
      </c>
      <c r="V47" s="34">
        <f t="shared" si="6"/>
        <v>100</v>
      </c>
      <c r="W47" s="35">
        <f t="shared" si="7"/>
        <v>0</v>
      </c>
      <c r="X47" s="35">
        <f t="shared" si="8"/>
        <v>12.5</v>
      </c>
      <c r="Y47" s="31">
        <f t="shared" si="9"/>
        <v>87.5</v>
      </c>
      <c r="Z47" s="36">
        <f t="shared" ref="Z47:AD47" si="52">_xlfn.RANK.EQ(N47,$N47:$R47, 1)</f>
        <v>1</v>
      </c>
      <c r="AA47" s="36">
        <f t="shared" si="52"/>
        <v>1</v>
      </c>
      <c r="AB47" s="36">
        <f t="shared" si="52"/>
        <v>3</v>
      </c>
      <c r="AC47" s="36">
        <f t="shared" si="52"/>
        <v>3</v>
      </c>
      <c r="AD47" s="36">
        <f t="shared" si="52"/>
        <v>5</v>
      </c>
      <c r="AE47" s="37"/>
    </row>
    <row r="48">
      <c r="A48" s="38" t="s">
        <v>82</v>
      </c>
      <c r="B48" s="28">
        <v>15.0</v>
      </c>
      <c r="C48" s="29">
        <v>0.05</v>
      </c>
      <c r="D48" s="28">
        <v>1.0</v>
      </c>
      <c r="E48" s="29">
        <v>0.35</v>
      </c>
      <c r="F48" s="28">
        <v>0.0</v>
      </c>
      <c r="G48" s="29">
        <v>0.0</v>
      </c>
      <c r="H48" s="28">
        <v>3.0</v>
      </c>
      <c r="I48" s="29">
        <v>0.6</v>
      </c>
      <c r="J48" s="28">
        <v>0.0</v>
      </c>
      <c r="K48" s="29">
        <v>0.0</v>
      </c>
      <c r="L48" s="30">
        <v>0.0</v>
      </c>
      <c r="M48" s="31">
        <f t="shared" si="2"/>
        <v>1</v>
      </c>
      <c r="N48" s="32">
        <v>0.0</v>
      </c>
      <c r="O48" s="32">
        <v>0.0</v>
      </c>
      <c r="P48" s="32">
        <f>100/48</f>
        <v>2.083333333</v>
      </c>
      <c r="Q48" s="32">
        <f>100*6/48</f>
        <v>12.5</v>
      </c>
      <c r="R48" s="32">
        <f>100*41/48</f>
        <v>85.41666667</v>
      </c>
      <c r="S48" s="34">
        <f t="shared" si="3"/>
        <v>100</v>
      </c>
      <c r="T48" s="35">
        <f t="shared" si="4"/>
        <v>0</v>
      </c>
      <c r="U48" s="35">
        <f t="shared" si="5"/>
        <v>100</v>
      </c>
      <c r="V48" s="34">
        <f t="shared" si="6"/>
        <v>100</v>
      </c>
      <c r="W48" s="35">
        <f t="shared" si="7"/>
        <v>0</v>
      </c>
      <c r="X48" s="35">
        <f t="shared" si="8"/>
        <v>2.083333333</v>
      </c>
      <c r="Y48" s="31">
        <f t="shared" si="9"/>
        <v>97.91666667</v>
      </c>
      <c r="Z48" s="36">
        <f t="shared" ref="Z48:AD48" si="53">_xlfn.RANK.EQ(N48,$N48:$R48, 1)</f>
        <v>1</v>
      </c>
      <c r="AA48" s="36">
        <f t="shared" si="53"/>
        <v>1</v>
      </c>
      <c r="AB48" s="36">
        <f t="shared" si="53"/>
        <v>3</v>
      </c>
      <c r="AC48" s="36">
        <f t="shared" si="53"/>
        <v>4</v>
      </c>
      <c r="AD48" s="36">
        <f t="shared" si="53"/>
        <v>5</v>
      </c>
      <c r="AE48" s="37"/>
    </row>
    <row r="49">
      <c r="A49" s="38" t="s">
        <v>83</v>
      </c>
      <c r="B49" s="28">
        <v>13.0</v>
      </c>
      <c r="C49" s="29">
        <v>0.25</v>
      </c>
      <c r="D49" s="28">
        <v>0.0</v>
      </c>
      <c r="E49" s="29">
        <v>0.0</v>
      </c>
      <c r="F49" s="28">
        <v>1.0</v>
      </c>
      <c r="G49" s="29">
        <v>0.35</v>
      </c>
      <c r="H49" s="28">
        <v>2.0</v>
      </c>
      <c r="I49" s="29">
        <v>0.4</v>
      </c>
      <c r="J49" s="28">
        <v>0.0</v>
      </c>
      <c r="K49" s="29">
        <v>0.0</v>
      </c>
      <c r="L49" s="30">
        <v>0.0</v>
      </c>
      <c r="M49" s="31">
        <f t="shared" si="2"/>
        <v>1</v>
      </c>
      <c r="N49" s="32">
        <v>6.06</v>
      </c>
      <c r="O49" s="32">
        <v>18.18</v>
      </c>
      <c r="P49" s="32">
        <v>24.24</v>
      </c>
      <c r="Q49" s="32">
        <v>18.18</v>
      </c>
      <c r="R49" s="32">
        <v>33.34</v>
      </c>
      <c r="S49" s="34">
        <f t="shared" si="3"/>
        <v>100</v>
      </c>
      <c r="T49" s="35">
        <f t="shared" si="4"/>
        <v>24.24</v>
      </c>
      <c r="U49" s="35">
        <f t="shared" si="5"/>
        <v>75.76</v>
      </c>
      <c r="V49" s="34">
        <f t="shared" si="6"/>
        <v>100</v>
      </c>
      <c r="W49" s="35">
        <f t="shared" si="7"/>
        <v>24.24</v>
      </c>
      <c r="X49" s="35">
        <f t="shared" si="8"/>
        <v>24.24</v>
      </c>
      <c r="Y49" s="31">
        <f t="shared" si="9"/>
        <v>51.52</v>
      </c>
      <c r="Z49" s="36">
        <f t="shared" ref="Z49:AD49" si="54">_xlfn.RANK.EQ(N49,$N49:$R49, 1)</f>
        <v>1</v>
      </c>
      <c r="AA49" s="36">
        <f t="shared" si="54"/>
        <v>2</v>
      </c>
      <c r="AB49" s="36">
        <f t="shared" si="54"/>
        <v>4</v>
      </c>
      <c r="AC49" s="36">
        <f t="shared" si="54"/>
        <v>2</v>
      </c>
      <c r="AD49" s="36">
        <f t="shared" si="54"/>
        <v>5</v>
      </c>
      <c r="AE49" s="37"/>
    </row>
    <row r="50">
      <c r="A50" s="39" t="s">
        <v>84</v>
      </c>
      <c r="B50" s="28">
        <v>14.0</v>
      </c>
      <c r="C50" s="29">
        <v>0.15</v>
      </c>
      <c r="D50" s="28">
        <v>0.0</v>
      </c>
      <c r="E50" s="29">
        <v>0.0</v>
      </c>
      <c r="F50" s="28">
        <v>1.0</v>
      </c>
      <c r="G50" s="29">
        <v>0.25</v>
      </c>
      <c r="H50" s="28">
        <v>2.0</v>
      </c>
      <c r="I50" s="29">
        <v>0.45</v>
      </c>
      <c r="J50" s="28">
        <v>42.0</v>
      </c>
      <c r="K50" s="29">
        <v>0.1</v>
      </c>
      <c r="L50" s="30">
        <v>0.05</v>
      </c>
      <c r="M50" s="31">
        <f t="shared" si="2"/>
        <v>1</v>
      </c>
      <c r="N50" s="32">
        <v>6.45</v>
      </c>
      <c r="O50" s="32">
        <v>0.0</v>
      </c>
      <c r="P50" s="32">
        <v>22.58</v>
      </c>
      <c r="Q50" s="32">
        <v>48.39</v>
      </c>
      <c r="R50" s="32">
        <v>22.58</v>
      </c>
      <c r="S50" s="34">
        <f t="shared" si="3"/>
        <v>100</v>
      </c>
      <c r="T50" s="35">
        <f t="shared" si="4"/>
        <v>6.45</v>
      </c>
      <c r="U50" s="35">
        <f t="shared" si="5"/>
        <v>93.55</v>
      </c>
      <c r="V50" s="34">
        <f t="shared" si="6"/>
        <v>100</v>
      </c>
      <c r="W50" s="35">
        <f t="shared" si="7"/>
        <v>6.45</v>
      </c>
      <c r="X50" s="35">
        <f t="shared" si="8"/>
        <v>22.58</v>
      </c>
      <c r="Y50" s="31">
        <f t="shared" si="9"/>
        <v>70.97</v>
      </c>
      <c r="Z50" s="36">
        <f t="shared" ref="Z50:AD50" si="55">_xlfn.RANK.EQ(N50,$N50:$R50, 1)</f>
        <v>2</v>
      </c>
      <c r="AA50" s="36">
        <f t="shared" si="55"/>
        <v>1</v>
      </c>
      <c r="AB50" s="36">
        <f t="shared" si="55"/>
        <v>3</v>
      </c>
      <c r="AC50" s="36">
        <f t="shared" si="55"/>
        <v>5</v>
      </c>
      <c r="AD50" s="36">
        <f t="shared" si="55"/>
        <v>3</v>
      </c>
      <c r="AE50" s="37"/>
    </row>
    <row r="51">
      <c r="A51" s="40" t="s">
        <v>85</v>
      </c>
      <c r="B51" s="28">
        <v>6.0</v>
      </c>
      <c r="C51" s="29">
        <v>0.15</v>
      </c>
      <c r="D51" s="28">
        <v>5.0</v>
      </c>
      <c r="E51" s="29">
        <v>0.3</v>
      </c>
      <c r="F51" s="28">
        <v>0.0</v>
      </c>
      <c r="G51" s="29">
        <v>0.0</v>
      </c>
      <c r="H51" s="28">
        <v>3.0</v>
      </c>
      <c r="I51" s="29">
        <v>0.45</v>
      </c>
      <c r="J51" s="28">
        <v>26.0</v>
      </c>
      <c r="K51" s="29">
        <v>0.1</v>
      </c>
      <c r="L51" s="30">
        <v>0.0</v>
      </c>
      <c r="M51" s="31">
        <f t="shared" si="2"/>
        <v>1</v>
      </c>
      <c r="N51" s="32">
        <v>0.0</v>
      </c>
      <c r="O51" s="32">
        <v>0.0</v>
      </c>
      <c r="P51" s="32">
        <v>0.95</v>
      </c>
      <c r="Q51" s="32">
        <v>23.81</v>
      </c>
      <c r="R51" s="32">
        <v>75.24</v>
      </c>
      <c r="S51" s="34">
        <f t="shared" si="3"/>
        <v>100</v>
      </c>
      <c r="T51" s="35">
        <f t="shared" si="4"/>
        <v>0</v>
      </c>
      <c r="U51" s="35">
        <f t="shared" si="5"/>
        <v>100</v>
      </c>
      <c r="V51" s="34">
        <f t="shared" si="6"/>
        <v>100</v>
      </c>
      <c r="W51" s="35">
        <f t="shared" si="7"/>
        <v>0</v>
      </c>
      <c r="X51" s="35">
        <f t="shared" si="8"/>
        <v>0.95</v>
      </c>
      <c r="Y51" s="31">
        <f t="shared" si="9"/>
        <v>99.05</v>
      </c>
      <c r="Z51" s="36">
        <f t="shared" ref="Z51:AD51" si="56">_xlfn.RANK.EQ(N51,$N51:$R51, 1)</f>
        <v>1</v>
      </c>
      <c r="AA51" s="36">
        <f t="shared" si="56"/>
        <v>1</v>
      </c>
      <c r="AB51" s="36">
        <f t="shared" si="56"/>
        <v>3</v>
      </c>
      <c r="AC51" s="36">
        <f t="shared" si="56"/>
        <v>4</v>
      </c>
      <c r="AD51" s="36">
        <f t="shared" si="56"/>
        <v>5</v>
      </c>
      <c r="AE51" s="37"/>
    </row>
    <row r="52">
      <c r="A52" s="38" t="s">
        <v>86</v>
      </c>
      <c r="B52" s="28">
        <v>17.0</v>
      </c>
      <c r="C52" s="29">
        <v>0.15</v>
      </c>
      <c r="D52" s="28">
        <v>0.0</v>
      </c>
      <c r="E52" s="29">
        <v>0.0</v>
      </c>
      <c r="F52" s="28">
        <v>1.0</v>
      </c>
      <c r="G52" s="29">
        <v>0.3</v>
      </c>
      <c r="H52" s="28">
        <v>2.0</v>
      </c>
      <c r="I52" s="29">
        <v>0.5</v>
      </c>
      <c r="J52" s="28">
        <v>0.0</v>
      </c>
      <c r="K52" s="29">
        <v>0.0</v>
      </c>
      <c r="L52" s="30">
        <v>0.05</v>
      </c>
      <c r="M52" s="31">
        <f t="shared" si="2"/>
        <v>1</v>
      </c>
      <c r="N52" s="32">
        <v>0.0</v>
      </c>
      <c r="O52" s="43">
        <v>6.67</v>
      </c>
      <c r="P52" s="44">
        <v>46.66</v>
      </c>
      <c r="Q52" s="43">
        <v>10.0</v>
      </c>
      <c r="R52" s="43">
        <v>36.67</v>
      </c>
      <c r="S52" s="34">
        <f t="shared" si="3"/>
        <v>100</v>
      </c>
      <c r="T52" s="35">
        <f t="shared" si="4"/>
        <v>6.67</v>
      </c>
      <c r="U52" s="35">
        <f t="shared" si="5"/>
        <v>93.33</v>
      </c>
      <c r="V52" s="34">
        <f t="shared" si="6"/>
        <v>100</v>
      </c>
      <c r="W52" s="35">
        <f t="shared" si="7"/>
        <v>6.67</v>
      </c>
      <c r="X52" s="35">
        <f t="shared" si="8"/>
        <v>46.66</v>
      </c>
      <c r="Y52" s="31">
        <f t="shared" si="9"/>
        <v>46.67</v>
      </c>
      <c r="Z52" s="36">
        <f t="shared" ref="Z52:AD52" si="57">_xlfn.RANK.EQ(N52,$N52:$R52, 1)</f>
        <v>1</v>
      </c>
      <c r="AA52" s="36">
        <f t="shared" si="57"/>
        <v>2</v>
      </c>
      <c r="AB52" s="36">
        <f t="shared" si="57"/>
        <v>5</v>
      </c>
      <c r="AC52" s="36">
        <f t="shared" si="57"/>
        <v>3</v>
      </c>
      <c r="AD52" s="36">
        <f t="shared" si="57"/>
        <v>4</v>
      </c>
      <c r="AE52" s="37"/>
    </row>
    <row r="53">
      <c r="A53" s="38" t="s">
        <v>87</v>
      </c>
      <c r="B53" s="28">
        <v>8.0</v>
      </c>
      <c r="C53" s="29">
        <v>0.3</v>
      </c>
      <c r="D53" s="28">
        <v>0.0</v>
      </c>
      <c r="E53" s="29">
        <v>0.0</v>
      </c>
      <c r="F53" s="28">
        <v>1.0</v>
      </c>
      <c r="G53" s="29">
        <v>0.3</v>
      </c>
      <c r="H53" s="28">
        <v>2.0</v>
      </c>
      <c r="I53" s="29">
        <v>0.4</v>
      </c>
      <c r="J53" s="28">
        <v>0.0</v>
      </c>
      <c r="K53" s="29">
        <v>0.0</v>
      </c>
      <c r="L53" s="30">
        <v>0.0</v>
      </c>
      <c r="M53" s="31">
        <f t="shared" si="2"/>
        <v>1</v>
      </c>
      <c r="N53" s="32">
        <v>0.0</v>
      </c>
      <c r="O53" s="32">
        <f>1/(16+8+5+1)*100</f>
        <v>3.333333333</v>
      </c>
      <c r="P53" s="32">
        <f>5/(16+8+5+1)*100</f>
        <v>16.66666667</v>
      </c>
      <c r="Q53" s="32">
        <f>8/(16+8+5+1)*100</f>
        <v>26.66666667</v>
      </c>
      <c r="R53" s="32">
        <f>16/(16+8+5+1)*100</f>
        <v>53.33333333</v>
      </c>
      <c r="S53" s="34">
        <f t="shared" si="3"/>
        <v>100</v>
      </c>
      <c r="T53" s="35">
        <f t="shared" si="4"/>
        <v>3.333333333</v>
      </c>
      <c r="U53" s="35">
        <f t="shared" si="5"/>
        <v>96.66666667</v>
      </c>
      <c r="V53" s="34">
        <f t="shared" si="6"/>
        <v>100</v>
      </c>
      <c r="W53" s="35">
        <f t="shared" si="7"/>
        <v>3.333333333</v>
      </c>
      <c r="X53" s="35">
        <f t="shared" si="8"/>
        <v>16.66666667</v>
      </c>
      <c r="Y53" s="31">
        <f t="shared" si="9"/>
        <v>80</v>
      </c>
      <c r="Z53" s="36">
        <f t="shared" ref="Z53:AD53" si="58">_xlfn.RANK.EQ(N53,$N53:$R53, 1)</f>
        <v>1</v>
      </c>
      <c r="AA53" s="36">
        <f t="shared" si="58"/>
        <v>2</v>
      </c>
      <c r="AB53" s="36">
        <f t="shared" si="58"/>
        <v>3</v>
      </c>
      <c r="AC53" s="36">
        <f t="shared" si="58"/>
        <v>4</v>
      </c>
      <c r="AD53" s="36">
        <f t="shared" si="58"/>
        <v>5</v>
      </c>
      <c r="AE53" s="37"/>
    </row>
    <row r="54">
      <c r="A54" s="38" t="s">
        <v>88</v>
      </c>
      <c r="B54" s="28">
        <v>7.0</v>
      </c>
      <c r="C54" s="29">
        <v>0.1</v>
      </c>
      <c r="D54" s="28">
        <v>0.0</v>
      </c>
      <c r="E54" s="29">
        <v>0.0</v>
      </c>
      <c r="F54" s="28">
        <v>1.0</v>
      </c>
      <c r="G54" s="29">
        <v>0.45</v>
      </c>
      <c r="H54" s="28">
        <v>2.0</v>
      </c>
      <c r="I54" s="29">
        <v>0.4</v>
      </c>
      <c r="J54" s="28">
        <v>0.0</v>
      </c>
      <c r="K54" s="29">
        <v>0.0</v>
      </c>
      <c r="L54" s="30">
        <v>0.05</v>
      </c>
      <c r="M54" s="31">
        <f t="shared" si="2"/>
        <v>1</v>
      </c>
      <c r="N54" s="32">
        <v>4.0</v>
      </c>
      <c r="O54" s="32">
        <v>4.0</v>
      </c>
      <c r="P54" s="32">
        <v>14.0</v>
      </c>
      <c r="Q54" s="32">
        <v>38.0</v>
      </c>
      <c r="R54" s="32">
        <v>40.0</v>
      </c>
      <c r="S54" s="34">
        <f t="shared" si="3"/>
        <v>100</v>
      </c>
      <c r="T54" s="35">
        <f t="shared" si="4"/>
        <v>8</v>
      </c>
      <c r="U54" s="35">
        <f t="shared" si="5"/>
        <v>92</v>
      </c>
      <c r="V54" s="34">
        <f t="shared" si="6"/>
        <v>100</v>
      </c>
      <c r="W54" s="35">
        <f t="shared" si="7"/>
        <v>8</v>
      </c>
      <c r="X54" s="35">
        <f t="shared" si="8"/>
        <v>14</v>
      </c>
      <c r="Y54" s="31">
        <f t="shared" si="9"/>
        <v>78</v>
      </c>
      <c r="Z54" s="36">
        <f t="shared" ref="Z54:AD54" si="59">_xlfn.RANK.EQ(N54,$N54:$R54, 1)</f>
        <v>1</v>
      </c>
      <c r="AA54" s="36">
        <f t="shared" si="59"/>
        <v>1</v>
      </c>
      <c r="AB54" s="36">
        <f t="shared" si="59"/>
        <v>3</v>
      </c>
      <c r="AC54" s="36">
        <f t="shared" si="59"/>
        <v>4</v>
      </c>
      <c r="AD54" s="36">
        <f t="shared" si="59"/>
        <v>5</v>
      </c>
      <c r="AE54" s="37"/>
    </row>
    <row r="55">
      <c r="A55" s="38" t="s">
        <v>89</v>
      </c>
      <c r="B55" s="28">
        <v>12.0</v>
      </c>
      <c r="C55" s="29">
        <v>0.65</v>
      </c>
      <c r="D55" s="28">
        <v>3.0</v>
      </c>
      <c r="E55" s="29">
        <v>0.15</v>
      </c>
      <c r="F55" s="28">
        <v>0.0</v>
      </c>
      <c r="G55" s="29">
        <v>0.0</v>
      </c>
      <c r="H55" s="28">
        <v>0.0</v>
      </c>
      <c r="I55" s="29">
        <v>0.0</v>
      </c>
      <c r="J55" s="28">
        <v>29.0</v>
      </c>
      <c r="K55" s="29">
        <v>0.2</v>
      </c>
      <c r="L55" s="30">
        <v>0.0</v>
      </c>
      <c r="M55" s="31">
        <f t="shared" si="2"/>
        <v>1</v>
      </c>
      <c r="N55" s="32">
        <v>0.0</v>
      </c>
      <c r="O55" s="32">
        <v>0.0</v>
      </c>
      <c r="P55" s="32">
        <v>0.0</v>
      </c>
      <c r="Q55" s="32">
        <v>9.52</v>
      </c>
      <c r="R55" s="32">
        <v>90.48</v>
      </c>
      <c r="S55" s="34">
        <f t="shared" si="3"/>
        <v>100</v>
      </c>
      <c r="T55" s="35">
        <f t="shared" si="4"/>
        <v>0</v>
      </c>
      <c r="U55" s="35">
        <f t="shared" si="5"/>
        <v>100</v>
      </c>
      <c r="V55" s="34">
        <f t="shared" si="6"/>
        <v>100</v>
      </c>
      <c r="W55" s="35">
        <f t="shared" si="7"/>
        <v>0</v>
      </c>
      <c r="X55" s="35">
        <f t="shared" si="8"/>
        <v>0</v>
      </c>
      <c r="Y55" s="31">
        <f t="shared" si="9"/>
        <v>100</v>
      </c>
      <c r="Z55" s="36">
        <f t="shared" ref="Z55:AD55" si="60">_xlfn.RANK.EQ(N55,$N55:$R55, 1)</f>
        <v>1</v>
      </c>
      <c r="AA55" s="36">
        <f t="shared" si="60"/>
        <v>1</v>
      </c>
      <c r="AB55" s="36">
        <f t="shared" si="60"/>
        <v>1</v>
      </c>
      <c r="AC55" s="36">
        <f t="shared" si="60"/>
        <v>4</v>
      </c>
      <c r="AD55" s="36">
        <f t="shared" si="60"/>
        <v>5</v>
      </c>
      <c r="AE55" s="37"/>
    </row>
    <row r="56">
      <c r="A56" s="38" t="s">
        <v>90</v>
      </c>
      <c r="B56" s="28">
        <v>7.0</v>
      </c>
      <c r="C56" s="29">
        <v>0.15</v>
      </c>
      <c r="D56" s="28">
        <v>0.0</v>
      </c>
      <c r="E56" s="29">
        <v>0.0</v>
      </c>
      <c r="F56" s="28">
        <v>1.0</v>
      </c>
      <c r="G56" s="29">
        <v>0.35</v>
      </c>
      <c r="H56" s="28">
        <v>0.0</v>
      </c>
      <c r="I56" s="29">
        <v>0.0</v>
      </c>
      <c r="J56" s="28">
        <v>2.0</v>
      </c>
      <c r="K56" s="29">
        <v>0.5</v>
      </c>
      <c r="L56" s="30">
        <v>0.0</v>
      </c>
      <c r="M56" s="31">
        <f t="shared" si="2"/>
        <v>1</v>
      </c>
      <c r="N56" s="32">
        <f>(0+1)/(15+16+8+10+21+8+1)*100</f>
        <v>1.265822785</v>
      </c>
      <c r="O56" s="32">
        <f>(0+0)/(15+16+8+10+21+8+1)*100</f>
        <v>0</v>
      </c>
      <c r="P56" s="42">
        <f>(8+8)/(15+16+8+10+21+8+1)*100</f>
        <v>20.25316456</v>
      </c>
      <c r="Q56" s="32">
        <f>(16+21)/(15+16+8+10+21+8+1)*100</f>
        <v>46.83544304</v>
      </c>
      <c r="R56" s="42">
        <f>(15+10)/(15+16+8+10+21+8+1)*100</f>
        <v>31.64556962</v>
      </c>
      <c r="S56" s="34">
        <f t="shared" si="3"/>
        <v>100</v>
      </c>
      <c r="T56" s="35">
        <f t="shared" si="4"/>
        <v>1.265822785</v>
      </c>
      <c r="U56" s="35">
        <f t="shared" si="5"/>
        <v>98.73417722</v>
      </c>
      <c r="V56" s="34">
        <f t="shared" si="6"/>
        <v>100</v>
      </c>
      <c r="W56" s="35">
        <f t="shared" si="7"/>
        <v>1.265822785</v>
      </c>
      <c r="X56" s="35">
        <f t="shared" si="8"/>
        <v>20.25316456</v>
      </c>
      <c r="Y56" s="31">
        <f t="shared" si="9"/>
        <v>78.48101266</v>
      </c>
      <c r="Z56" s="36">
        <f t="shared" ref="Z56:AD56" si="61">_xlfn.RANK.EQ(N56,$N56:$R56, 1)</f>
        <v>2</v>
      </c>
      <c r="AA56" s="36">
        <f t="shared" si="61"/>
        <v>1</v>
      </c>
      <c r="AB56" s="36">
        <f t="shared" si="61"/>
        <v>3</v>
      </c>
      <c r="AC56" s="36">
        <f t="shared" si="61"/>
        <v>5</v>
      </c>
      <c r="AD56" s="36">
        <f t="shared" si="61"/>
        <v>4</v>
      </c>
      <c r="AE56" s="37"/>
    </row>
    <row r="57">
      <c r="A57" s="38" t="s">
        <v>91</v>
      </c>
      <c r="B57" s="28">
        <v>12.0</v>
      </c>
      <c r="C57" s="29">
        <v>0.15</v>
      </c>
      <c r="D57" s="28">
        <v>0.0</v>
      </c>
      <c r="E57" s="29">
        <v>0.0</v>
      </c>
      <c r="F57" s="28">
        <v>1.0</v>
      </c>
      <c r="G57" s="29">
        <v>0.3</v>
      </c>
      <c r="H57" s="28">
        <v>2.0</v>
      </c>
      <c r="I57" s="29">
        <v>0.5</v>
      </c>
      <c r="J57" s="28">
        <v>0.0</v>
      </c>
      <c r="K57" s="29">
        <v>0.0</v>
      </c>
      <c r="L57" s="30">
        <v>0.05</v>
      </c>
      <c r="M57" s="31">
        <f t="shared" si="2"/>
        <v>1</v>
      </c>
      <c r="N57" s="32">
        <v>0.0</v>
      </c>
      <c r="O57" s="41">
        <f>2/(11+3+14+2)*100</f>
        <v>6.666666667</v>
      </c>
      <c r="P57" s="42">
        <f>14/(11+3+14+2)*100</f>
        <v>46.66666667</v>
      </c>
      <c r="Q57" s="42">
        <f>3/(11+3+14+2)*100</f>
        <v>10</v>
      </c>
      <c r="R57" s="42">
        <f>11/(11+3+14+2)*100</f>
        <v>36.66666667</v>
      </c>
      <c r="S57" s="34">
        <f t="shared" si="3"/>
        <v>100</v>
      </c>
      <c r="T57" s="35">
        <f t="shared" si="4"/>
        <v>6.666666667</v>
      </c>
      <c r="U57" s="35">
        <f t="shared" si="5"/>
        <v>93.33333333</v>
      </c>
      <c r="V57" s="34">
        <f t="shared" si="6"/>
        <v>100</v>
      </c>
      <c r="W57" s="35">
        <f t="shared" si="7"/>
        <v>6.666666667</v>
      </c>
      <c r="X57" s="35">
        <f t="shared" si="8"/>
        <v>46.66666667</v>
      </c>
      <c r="Y57" s="31">
        <f t="shared" si="9"/>
        <v>46.66666667</v>
      </c>
      <c r="Z57" s="36">
        <f t="shared" ref="Z57:AD57" si="62">_xlfn.RANK.EQ(N57,$N57:$R57, 1)</f>
        <v>1</v>
      </c>
      <c r="AA57" s="36">
        <f t="shared" si="62"/>
        <v>2</v>
      </c>
      <c r="AB57" s="36">
        <f t="shared" si="62"/>
        <v>5</v>
      </c>
      <c r="AC57" s="36">
        <f t="shared" si="62"/>
        <v>3</v>
      </c>
      <c r="AD57" s="36">
        <f t="shared" si="62"/>
        <v>4</v>
      </c>
      <c r="AE57" s="37"/>
    </row>
    <row r="58">
      <c r="A58" s="38" t="s">
        <v>92</v>
      </c>
      <c r="B58" s="28">
        <v>12.0</v>
      </c>
      <c r="C58" s="29">
        <v>0.2</v>
      </c>
      <c r="D58" s="28">
        <v>0.0</v>
      </c>
      <c r="E58" s="29">
        <v>0.0</v>
      </c>
      <c r="F58" s="28">
        <v>1.0</v>
      </c>
      <c r="G58" s="29">
        <v>0.4</v>
      </c>
      <c r="H58" s="28">
        <v>2.0</v>
      </c>
      <c r="I58" s="29">
        <v>0.4</v>
      </c>
      <c r="J58" s="28">
        <v>0.0</v>
      </c>
      <c r="K58" s="29">
        <v>0.0</v>
      </c>
      <c r="L58" s="30">
        <v>0.0</v>
      </c>
      <c r="M58" s="31">
        <f t="shared" si="2"/>
        <v>1</v>
      </c>
      <c r="N58" s="32">
        <v>1.83</v>
      </c>
      <c r="O58" s="32">
        <v>1.83</v>
      </c>
      <c r="P58" s="32">
        <v>30.28</v>
      </c>
      <c r="Q58" s="32">
        <v>38.53</v>
      </c>
      <c r="R58" s="32">
        <v>27.53</v>
      </c>
      <c r="S58" s="34">
        <f t="shared" si="3"/>
        <v>100</v>
      </c>
      <c r="T58" s="35">
        <f t="shared" si="4"/>
        <v>3.66</v>
      </c>
      <c r="U58" s="35">
        <f t="shared" si="5"/>
        <v>96.34</v>
      </c>
      <c r="V58" s="34">
        <f t="shared" si="6"/>
        <v>100</v>
      </c>
      <c r="W58" s="35">
        <f t="shared" si="7"/>
        <v>3.66</v>
      </c>
      <c r="X58" s="35">
        <f t="shared" si="8"/>
        <v>30.28</v>
      </c>
      <c r="Y58" s="31">
        <f t="shared" si="9"/>
        <v>66.06</v>
      </c>
      <c r="Z58" s="36">
        <f t="shared" ref="Z58:AD58" si="63">_xlfn.RANK.EQ(N58,$N58:$R58, 1)</f>
        <v>1</v>
      </c>
      <c r="AA58" s="36">
        <f t="shared" si="63"/>
        <v>1</v>
      </c>
      <c r="AB58" s="36">
        <f t="shared" si="63"/>
        <v>4</v>
      </c>
      <c r="AC58" s="36">
        <f t="shared" si="63"/>
        <v>5</v>
      </c>
      <c r="AD58" s="36">
        <f t="shared" si="63"/>
        <v>3</v>
      </c>
      <c r="AE58" s="37"/>
    </row>
    <row r="59">
      <c r="A59" s="38" t="s">
        <v>93</v>
      </c>
      <c r="B59" s="28">
        <v>9.0</v>
      </c>
      <c r="C59" s="29">
        <v>0.1</v>
      </c>
      <c r="D59" s="28">
        <v>0.0</v>
      </c>
      <c r="E59" s="29">
        <v>0.0</v>
      </c>
      <c r="F59" s="28">
        <v>1.0</v>
      </c>
      <c r="G59" s="29">
        <v>0.4</v>
      </c>
      <c r="H59" s="28">
        <v>2.0</v>
      </c>
      <c r="I59" s="29">
        <v>0.5</v>
      </c>
      <c r="J59" s="28">
        <v>0.0</v>
      </c>
      <c r="K59" s="29">
        <v>0.0</v>
      </c>
      <c r="L59" s="30">
        <v>0.0</v>
      </c>
      <c r="M59" s="31">
        <f t="shared" si="2"/>
        <v>1</v>
      </c>
      <c r="N59" s="32">
        <v>0.0</v>
      </c>
      <c r="O59" s="32">
        <v>0.0</v>
      </c>
      <c r="P59" s="32">
        <v>8.43</v>
      </c>
      <c r="Q59" s="32">
        <v>42.17</v>
      </c>
      <c r="R59" s="32">
        <v>49.4</v>
      </c>
      <c r="S59" s="34">
        <f t="shared" si="3"/>
        <v>100</v>
      </c>
      <c r="T59" s="35">
        <f t="shared" si="4"/>
        <v>0</v>
      </c>
      <c r="U59" s="35">
        <f t="shared" si="5"/>
        <v>100</v>
      </c>
      <c r="V59" s="34">
        <f t="shared" si="6"/>
        <v>100</v>
      </c>
      <c r="W59" s="35">
        <f t="shared" si="7"/>
        <v>0</v>
      </c>
      <c r="X59" s="35">
        <f t="shared" si="8"/>
        <v>8.43</v>
      </c>
      <c r="Y59" s="31">
        <f t="shared" si="9"/>
        <v>91.57</v>
      </c>
      <c r="Z59" s="36">
        <f t="shared" ref="Z59:AD59" si="64">_xlfn.RANK.EQ(N59,$N59:$R59, 1)</f>
        <v>1</v>
      </c>
      <c r="AA59" s="36">
        <f t="shared" si="64"/>
        <v>1</v>
      </c>
      <c r="AB59" s="36">
        <f t="shared" si="64"/>
        <v>3</v>
      </c>
      <c r="AC59" s="36">
        <f t="shared" si="64"/>
        <v>4</v>
      </c>
      <c r="AD59" s="36">
        <f t="shared" si="64"/>
        <v>5</v>
      </c>
      <c r="AE59" s="37"/>
    </row>
    <row r="60">
      <c r="A60" s="38" t="s">
        <v>94</v>
      </c>
      <c r="B60" s="28">
        <v>9.0</v>
      </c>
      <c r="C60" s="29">
        <v>0.1</v>
      </c>
      <c r="D60" s="28">
        <v>0.0</v>
      </c>
      <c r="E60" s="29">
        <v>0.0</v>
      </c>
      <c r="F60" s="28">
        <v>1.0</v>
      </c>
      <c r="G60" s="29">
        <v>0.4</v>
      </c>
      <c r="H60" s="28">
        <v>2.0</v>
      </c>
      <c r="I60" s="29">
        <v>0.5</v>
      </c>
      <c r="J60" s="28">
        <v>0.0</v>
      </c>
      <c r="K60" s="29">
        <v>0.0</v>
      </c>
      <c r="L60" s="30">
        <v>0.0</v>
      </c>
      <c r="M60" s="31">
        <f t="shared" si="2"/>
        <v>1</v>
      </c>
      <c r="N60" s="32">
        <v>2.25</v>
      </c>
      <c r="O60" s="32">
        <v>1.12</v>
      </c>
      <c r="P60" s="32">
        <v>8.99</v>
      </c>
      <c r="Q60" s="32">
        <v>51.69</v>
      </c>
      <c r="R60" s="32">
        <v>35.95</v>
      </c>
      <c r="S60" s="34">
        <f t="shared" si="3"/>
        <v>100</v>
      </c>
      <c r="T60" s="35">
        <f t="shared" si="4"/>
        <v>3.37</v>
      </c>
      <c r="U60" s="35">
        <f t="shared" si="5"/>
        <v>96.63</v>
      </c>
      <c r="V60" s="34">
        <f t="shared" si="6"/>
        <v>100</v>
      </c>
      <c r="W60" s="35">
        <f t="shared" si="7"/>
        <v>3.37</v>
      </c>
      <c r="X60" s="35">
        <f t="shared" si="8"/>
        <v>8.99</v>
      </c>
      <c r="Y60" s="31">
        <f t="shared" si="9"/>
        <v>87.64</v>
      </c>
      <c r="Z60" s="36">
        <f t="shared" ref="Z60:AD60" si="65">_xlfn.RANK.EQ(N60,$N60:$R60, 1)</f>
        <v>2</v>
      </c>
      <c r="AA60" s="36">
        <f t="shared" si="65"/>
        <v>1</v>
      </c>
      <c r="AB60" s="36">
        <f t="shared" si="65"/>
        <v>3</v>
      </c>
      <c r="AC60" s="36">
        <f t="shared" si="65"/>
        <v>5</v>
      </c>
      <c r="AD60" s="36">
        <f t="shared" si="65"/>
        <v>4</v>
      </c>
      <c r="AE60" s="37"/>
    </row>
    <row r="61">
      <c r="A61" s="40" t="s">
        <v>95</v>
      </c>
      <c r="B61" s="28">
        <v>7.0</v>
      </c>
      <c r="C61" s="29">
        <v>0.1</v>
      </c>
      <c r="D61" s="28">
        <v>0.0</v>
      </c>
      <c r="E61" s="29">
        <v>0.0</v>
      </c>
      <c r="F61" s="28">
        <v>1.0</v>
      </c>
      <c r="G61" s="29">
        <v>0.3</v>
      </c>
      <c r="H61" s="28">
        <v>2.0</v>
      </c>
      <c r="I61" s="29">
        <v>0.5</v>
      </c>
      <c r="J61" s="28">
        <v>5.0</v>
      </c>
      <c r="K61" s="29">
        <v>0.1</v>
      </c>
      <c r="L61" s="30">
        <v>0.0</v>
      </c>
      <c r="M61" s="31">
        <f t="shared" si="2"/>
        <v>1</v>
      </c>
      <c r="N61" s="32">
        <v>0.0</v>
      </c>
      <c r="O61" s="32">
        <v>1.41</v>
      </c>
      <c r="P61" s="32">
        <v>23.94</v>
      </c>
      <c r="Q61" s="32">
        <v>35.21</v>
      </c>
      <c r="R61" s="32">
        <v>39.44</v>
      </c>
      <c r="S61" s="34">
        <f t="shared" si="3"/>
        <v>100</v>
      </c>
      <c r="T61" s="35">
        <f t="shared" si="4"/>
        <v>1.41</v>
      </c>
      <c r="U61" s="35">
        <f t="shared" si="5"/>
        <v>98.59</v>
      </c>
      <c r="V61" s="34">
        <f t="shared" si="6"/>
        <v>100</v>
      </c>
      <c r="W61" s="35">
        <f t="shared" si="7"/>
        <v>1.41</v>
      </c>
      <c r="X61" s="35">
        <f t="shared" si="8"/>
        <v>23.94</v>
      </c>
      <c r="Y61" s="31">
        <f t="shared" si="9"/>
        <v>74.65</v>
      </c>
      <c r="Z61" s="36">
        <f t="shared" ref="Z61:AD61" si="66">_xlfn.RANK.EQ(N61,$N61:$R61, 1)</f>
        <v>1</v>
      </c>
      <c r="AA61" s="36">
        <f t="shared" si="66"/>
        <v>2</v>
      </c>
      <c r="AB61" s="36">
        <f t="shared" si="66"/>
        <v>3</v>
      </c>
      <c r="AC61" s="36">
        <f t="shared" si="66"/>
        <v>4</v>
      </c>
      <c r="AD61" s="36">
        <f t="shared" si="66"/>
        <v>5</v>
      </c>
      <c r="AE61" s="37"/>
    </row>
    <row r="62">
      <c r="A62" s="38" t="s">
        <v>96</v>
      </c>
      <c r="B62" s="28">
        <v>10.0</v>
      </c>
      <c r="C62" s="29">
        <v>0.2</v>
      </c>
      <c r="D62" s="28">
        <v>1.0</v>
      </c>
      <c r="E62" s="29">
        <v>0.1</v>
      </c>
      <c r="F62" s="28">
        <v>1.0</v>
      </c>
      <c r="G62" s="29">
        <v>0.3</v>
      </c>
      <c r="H62" s="28">
        <v>2.0</v>
      </c>
      <c r="I62" s="29">
        <v>0.35</v>
      </c>
      <c r="J62" s="28">
        <v>0.0</v>
      </c>
      <c r="K62" s="29">
        <v>0.0</v>
      </c>
      <c r="L62" s="30">
        <v>0.05</v>
      </c>
      <c r="M62" s="31">
        <f t="shared" si="2"/>
        <v>1</v>
      </c>
      <c r="N62" s="32">
        <v>0.0</v>
      </c>
      <c r="O62" s="32">
        <v>8.33</v>
      </c>
      <c r="P62" s="32">
        <v>8.33</v>
      </c>
      <c r="Q62" s="32">
        <v>58.34</v>
      </c>
      <c r="R62" s="32">
        <v>25.0</v>
      </c>
      <c r="S62" s="34">
        <f t="shared" si="3"/>
        <v>100</v>
      </c>
      <c r="T62" s="35">
        <f t="shared" si="4"/>
        <v>8.33</v>
      </c>
      <c r="U62" s="35">
        <f t="shared" si="5"/>
        <v>91.67</v>
      </c>
      <c r="V62" s="34">
        <f t="shared" si="6"/>
        <v>100</v>
      </c>
      <c r="W62" s="35">
        <f t="shared" si="7"/>
        <v>8.33</v>
      </c>
      <c r="X62" s="35">
        <f t="shared" si="8"/>
        <v>8.33</v>
      </c>
      <c r="Y62" s="31">
        <f t="shared" si="9"/>
        <v>83.34</v>
      </c>
      <c r="Z62" s="36">
        <f t="shared" ref="Z62:AD62" si="67">_xlfn.RANK.EQ(N62,$N62:$R62, 1)</f>
        <v>1</v>
      </c>
      <c r="AA62" s="36">
        <f t="shared" si="67"/>
        <v>2</v>
      </c>
      <c r="AB62" s="36">
        <f t="shared" si="67"/>
        <v>2</v>
      </c>
      <c r="AC62" s="36">
        <f t="shared" si="67"/>
        <v>5</v>
      </c>
      <c r="AD62" s="36">
        <f t="shared" si="67"/>
        <v>4</v>
      </c>
      <c r="AE62" s="37"/>
    </row>
    <row r="63">
      <c r="A63" s="38" t="s">
        <v>97</v>
      </c>
      <c r="B63" s="28">
        <v>10.0</v>
      </c>
      <c r="C63" s="29">
        <v>0.2</v>
      </c>
      <c r="D63" s="28">
        <v>1.0</v>
      </c>
      <c r="E63" s="29">
        <v>0.1</v>
      </c>
      <c r="F63" s="28">
        <v>1.0</v>
      </c>
      <c r="G63" s="29">
        <v>0.3</v>
      </c>
      <c r="H63" s="28">
        <v>2.0</v>
      </c>
      <c r="I63" s="29">
        <v>0.35</v>
      </c>
      <c r="J63" s="28">
        <v>0.0</v>
      </c>
      <c r="K63" s="29">
        <v>0.0</v>
      </c>
      <c r="L63" s="30">
        <v>0.05</v>
      </c>
      <c r="M63" s="31">
        <f t="shared" si="2"/>
        <v>1</v>
      </c>
      <c r="N63" s="45">
        <v>0.0</v>
      </c>
      <c r="O63" s="45">
        <v>5.0</v>
      </c>
      <c r="P63" s="45">
        <v>10.0</v>
      </c>
      <c r="Q63" s="45">
        <v>30.0</v>
      </c>
      <c r="R63" s="45">
        <v>55.0</v>
      </c>
      <c r="S63" s="34">
        <f t="shared" si="3"/>
        <v>100</v>
      </c>
      <c r="T63" s="35">
        <f t="shared" si="4"/>
        <v>5</v>
      </c>
      <c r="U63" s="35">
        <f t="shared" si="5"/>
        <v>95</v>
      </c>
      <c r="V63" s="34">
        <f t="shared" si="6"/>
        <v>100</v>
      </c>
      <c r="W63" s="35">
        <f t="shared" si="7"/>
        <v>5</v>
      </c>
      <c r="X63" s="35">
        <f t="shared" si="8"/>
        <v>10</v>
      </c>
      <c r="Y63" s="31">
        <f t="shared" si="9"/>
        <v>85</v>
      </c>
      <c r="Z63" s="36">
        <f t="shared" ref="Z63:AD63" si="68">_xlfn.RANK.EQ(N63,$N63:$R63, 1)</f>
        <v>1</v>
      </c>
      <c r="AA63" s="36">
        <f t="shared" si="68"/>
        <v>2</v>
      </c>
      <c r="AB63" s="36">
        <f t="shared" si="68"/>
        <v>3</v>
      </c>
      <c r="AC63" s="36">
        <f t="shared" si="68"/>
        <v>4</v>
      </c>
      <c r="AD63" s="36">
        <f t="shared" si="68"/>
        <v>5</v>
      </c>
      <c r="AE63" s="37"/>
    </row>
    <row r="64">
      <c r="A64" s="40" t="s">
        <v>98</v>
      </c>
      <c r="B64" s="28">
        <v>9.0</v>
      </c>
      <c r="C64" s="29">
        <v>0.075</v>
      </c>
      <c r="D64" s="28">
        <v>1.0</v>
      </c>
      <c r="E64" s="29">
        <v>0.4</v>
      </c>
      <c r="F64" s="28">
        <v>0.0</v>
      </c>
      <c r="G64" s="29">
        <v>0.0</v>
      </c>
      <c r="H64" s="28">
        <v>2.0</v>
      </c>
      <c r="I64" s="29">
        <v>0.45</v>
      </c>
      <c r="J64" s="28">
        <v>12.0</v>
      </c>
      <c r="K64" s="29">
        <v>0.075</v>
      </c>
      <c r="L64" s="30">
        <v>0.0</v>
      </c>
      <c r="M64" s="31">
        <f t="shared" si="2"/>
        <v>1</v>
      </c>
      <c r="N64" s="45">
        <v>0.0</v>
      </c>
      <c r="O64" s="45">
        <v>0.0</v>
      </c>
      <c r="P64" s="45">
        <v>9.09</v>
      </c>
      <c r="Q64" s="45">
        <v>50.0</v>
      </c>
      <c r="R64" s="45">
        <v>40.91</v>
      </c>
      <c r="S64" s="34">
        <f t="shared" si="3"/>
        <v>100</v>
      </c>
      <c r="T64" s="35">
        <f t="shared" si="4"/>
        <v>0</v>
      </c>
      <c r="U64" s="35">
        <f t="shared" si="5"/>
        <v>100</v>
      </c>
      <c r="V64" s="34">
        <f t="shared" si="6"/>
        <v>100</v>
      </c>
      <c r="W64" s="35">
        <f t="shared" si="7"/>
        <v>0</v>
      </c>
      <c r="X64" s="35">
        <f t="shared" si="8"/>
        <v>9.09</v>
      </c>
      <c r="Y64" s="31">
        <f t="shared" si="9"/>
        <v>90.91</v>
      </c>
      <c r="Z64" s="36">
        <f t="shared" ref="Z64:AD64" si="69">_xlfn.RANK.EQ(N64,$N64:$R64, 1)</f>
        <v>1</v>
      </c>
      <c r="AA64" s="36">
        <f t="shared" si="69"/>
        <v>1</v>
      </c>
      <c r="AB64" s="36">
        <f t="shared" si="69"/>
        <v>3</v>
      </c>
      <c r="AC64" s="36">
        <f t="shared" si="69"/>
        <v>5</v>
      </c>
      <c r="AD64" s="36">
        <f t="shared" si="69"/>
        <v>4</v>
      </c>
      <c r="AE64" s="37"/>
    </row>
    <row r="65">
      <c r="A65" s="38" t="s">
        <v>99</v>
      </c>
      <c r="B65" s="28">
        <v>13.0</v>
      </c>
      <c r="C65" s="29">
        <v>0.2</v>
      </c>
      <c r="D65" s="28">
        <v>0.0</v>
      </c>
      <c r="E65" s="29">
        <v>0.0</v>
      </c>
      <c r="F65" s="28">
        <v>1.0</v>
      </c>
      <c r="G65" s="29">
        <v>0.35</v>
      </c>
      <c r="H65" s="28">
        <v>3.0</v>
      </c>
      <c r="I65" s="29">
        <v>0.45</v>
      </c>
      <c r="J65" s="28">
        <v>0.0</v>
      </c>
      <c r="K65" s="29">
        <v>0.0</v>
      </c>
      <c r="L65" s="30">
        <v>0.0</v>
      </c>
      <c r="M65" s="31">
        <f t="shared" si="2"/>
        <v>1</v>
      </c>
      <c r="N65" s="46">
        <f>100*4/(86+29+17+7+4)</f>
        <v>2.797202797</v>
      </c>
      <c r="O65" s="47">
        <f>100*7/(86+29+17+7+4)</f>
        <v>4.895104895</v>
      </c>
      <c r="P65" s="47">
        <f>100*17/(86+29+17+7+4)</f>
        <v>11.88811189</v>
      </c>
      <c r="Q65" s="47">
        <f>100*29/(86+29+17+7+4)</f>
        <v>20.27972028</v>
      </c>
      <c r="R65" s="47">
        <f>100*86/(86+29+17+7+4)</f>
        <v>60.13986014</v>
      </c>
      <c r="S65" s="34">
        <f t="shared" si="3"/>
        <v>100</v>
      </c>
      <c r="T65" s="35">
        <f t="shared" si="4"/>
        <v>7.692307692</v>
      </c>
      <c r="U65" s="35">
        <f t="shared" si="5"/>
        <v>92.30769231</v>
      </c>
      <c r="V65" s="34">
        <f t="shared" si="6"/>
        <v>100</v>
      </c>
      <c r="W65" s="35">
        <f t="shared" si="7"/>
        <v>7.692307692</v>
      </c>
      <c r="X65" s="35">
        <f t="shared" si="8"/>
        <v>11.88811189</v>
      </c>
      <c r="Y65" s="31">
        <f t="shared" si="9"/>
        <v>80.41958042</v>
      </c>
      <c r="Z65" s="36">
        <f t="shared" ref="Z65:AD65" si="70">_xlfn.RANK.EQ(N65,$N65:$R65, 1)</f>
        <v>1</v>
      </c>
      <c r="AA65" s="36">
        <f t="shared" si="70"/>
        <v>2</v>
      </c>
      <c r="AB65" s="36">
        <f t="shared" si="70"/>
        <v>3</v>
      </c>
      <c r="AC65" s="36">
        <f t="shared" si="70"/>
        <v>4</v>
      </c>
      <c r="AD65" s="36">
        <f t="shared" si="70"/>
        <v>5</v>
      </c>
      <c r="AE65" s="37"/>
    </row>
    <row r="66">
      <c r="A66" s="38" t="s">
        <v>100</v>
      </c>
      <c r="B66" s="28">
        <v>0.0</v>
      </c>
      <c r="C66" s="29">
        <v>0.0</v>
      </c>
      <c r="D66" s="28">
        <v>0.0</v>
      </c>
      <c r="E66" s="29">
        <v>0.0</v>
      </c>
      <c r="F66" s="28">
        <v>1.0</v>
      </c>
      <c r="G66" s="29">
        <v>0.3</v>
      </c>
      <c r="H66" s="28">
        <v>2.0</v>
      </c>
      <c r="I66" s="29">
        <v>0.5</v>
      </c>
      <c r="J66" s="28">
        <v>12.0</v>
      </c>
      <c r="K66" s="29">
        <v>0.2</v>
      </c>
      <c r="L66" s="30">
        <v>0.0</v>
      </c>
      <c r="M66" s="31">
        <f t="shared" si="2"/>
        <v>1</v>
      </c>
      <c r="N66" s="45">
        <f>100*1/(7+4+8+1+7+11+5+6+12+5+3+14+4+2+1)</f>
        <v>1.111111111</v>
      </c>
      <c r="O66" s="42">
        <f>100*(2+1)/(7+4+8+1+7+11+5+6+12+5+3+14+4+2+1)</f>
        <v>3.333333333</v>
      </c>
      <c r="P66" s="42">
        <f>100*(8+5+5+4)/(7+4+8+1+7+11+5+6+12+5+3+14+4+2+1)</f>
        <v>24.44444444</v>
      </c>
      <c r="Q66" s="42">
        <f>100*(4+11+12+14)/(7+4+8+1+7+11+5+6+12+5+3+14+4+2+1)</f>
        <v>45.55555556</v>
      </c>
      <c r="R66" s="42">
        <f>100*(7+7+6+3)/(7+4+8+1+7+11+5+6+12+5+3+14+4+2+1)</f>
        <v>25.55555556</v>
      </c>
      <c r="S66" s="34">
        <f t="shared" si="3"/>
        <v>100</v>
      </c>
      <c r="T66" s="35">
        <f t="shared" si="4"/>
        <v>4.444444444</v>
      </c>
      <c r="U66" s="35">
        <f t="shared" si="5"/>
        <v>95.55555556</v>
      </c>
      <c r="V66" s="34">
        <f t="shared" si="6"/>
        <v>100</v>
      </c>
      <c r="W66" s="35">
        <f t="shared" si="7"/>
        <v>4.444444444</v>
      </c>
      <c r="X66" s="35">
        <f t="shared" si="8"/>
        <v>24.44444444</v>
      </c>
      <c r="Y66" s="31">
        <f t="shared" si="9"/>
        <v>71.11111111</v>
      </c>
      <c r="Z66" s="36">
        <f t="shared" ref="Z66:AD66" si="71">_xlfn.RANK.EQ(N66,$N66:$R66, 1)</f>
        <v>1</v>
      </c>
      <c r="AA66" s="36">
        <f t="shared" si="71"/>
        <v>2</v>
      </c>
      <c r="AB66" s="36">
        <f t="shared" si="71"/>
        <v>3</v>
      </c>
      <c r="AC66" s="36">
        <f t="shared" si="71"/>
        <v>5</v>
      </c>
      <c r="AD66" s="36">
        <f t="shared" si="71"/>
        <v>4</v>
      </c>
      <c r="AE66" s="37"/>
    </row>
    <row r="67">
      <c r="A67" s="38" t="s">
        <v>101</v>
      </c>
      <c r="B67" s="28">
        <v>0.0</v>
      </c>
      <c r="C67" s="29">
        <v>0.0</v>
      </c>
      <c r="D67" s="28">
        <v>0.0</v>
      </c>
      <c r="E67" s="29">
        <v>0.0</v>
      </c>
      <c r="F67" s="28">
        <v>1.0</v>
      </c>
      <c r="G67" s="29">
        <v>0.35</v>
      </c>
      <c r="H67" s="28">
        <v>2.0</v>
      </c>
      <c r="I67" s="29">
        <v>0.5</v>
      </c>
      <c r="J67" s="28">
        <v>12.0</v>
      </c>
      <c r="K67" s="29">
        <v>0.15</v>
      </c>
      <c r="L67" s="30">
        <v>0.0</v>
      </c>
      <c r="M67" s="31">
        <f t="shared" si="2"/>
        <v>1</v>
      </c>
      <c r="N67" s="45">
        <v>0.0</v>
      </c>
      <c r="O67" s="45">
        <f>0</f>
        <v>0</v>
      </c>
      <c r="P67" s="45">
        <f>100*(3+4+1+2)/(17+11+3+11+16+4+10+20+1+6+9+2)</f>
        <v>9.090909091</v>
      </c>
      <c r="Q67" s="45">
        <f>100*(11+16+20+9)/(17+11+3+11+16+4+10+20+1+6+9+2)</f>
        <v>50.90909091</v>
      </c>
      <c r="R67" s="45">
        <f>100*(17+11+10+6)/(17+11+3+11+16+4+10+20+1+6+9+2)</f>
        <v>40</v>
      </c>
      <c r="S67" s="34">
        <f t="shared" si="3"/>
        <v>100</v>
      </c>
      <c r="T67" s="35">
        <f t="shared" si="4"/>
        <v>0</v>
      </c>
      <c r="U67" s="35">
        <f t="shared" si="5"/>
        <v>100</v>
      </c>
      <c r="V67" s="34">
        <f t="shared" si="6"/>
        <v>100</v>
      </c>
      <c r="W67" s="35">
        <f t="shared" si="7"/>
        <v>0</v>
      </c>
      <c r="X67" s="35">
        <f t="shared" si="8"/>
        <v>9.090909091</v>
      </c>
      <c r="Y67" s="31">
        <f t="shared" si="9"/>
        <v>90.90909091</v>
      </c>
      <c r="Z67" s="36">
        <f t="shared" ref="Z67:AD67" si="72">_xlfn.RANK.EQ(N67,$N67:$R67, 1)</f>
        <v>1</v>
      </c>
      <c r="AA67" s="36">
        <f t="shared" si="72"/>
        <v>1</v>
      </c>
      <c r="AB67" s="36">
        <f t="shared" si="72"/>
        <v>3</v>
      </c>
      <c r="AC67" s="36">
        <f t="shared" si="72"/>
        <v>5</v>
      </c>
      <c r="AD67" s="36">
        <f t="shared" si="72"/>
        <v>4</v>
      </c>
      <c r="AE67" s="37"/>
    </row>
    <row r="68">
      <c r="A68" s="40" t="s">
        <v>102</v>
      </c>
      <c r="B68" s="28">
        <v>11.0</v>
      </c>
      <c r="C68" s="29">
        <v>0.1</v>
      </c>
      <c r="D68" s="28">
        <v>0.0</v>
      </c>
      <c r="E68" s="29">
        <v>0.0</v>
      </c>
      <c r="F68" s="28">
        <v>1.0</v>
      </c>
      <c r="G68" s="29">
        <v>0.3</v>
      </c>
      <c r="H68" s="28">
        <v>3.0</v>
      </c>
      <c r="I68" s="29">
        <v>0.5</v>
      </c>
      <c r="J68" s="28">
        <v>9.0</v>
      </c>
      <c r="K68" s="29">
        <v>0.1</v>
      </c>
      <c r="L68" s="30">
        <v>0.0</v>
      </c>
      <c r="M68" s="31">
        <f t="shared" si="2"/>
        <v>1</v>
      </c>
      <c r="N68" s="45">
        <f>100*1/(9+9+13+1+14+7+10+1+1+7+10+15+2+13+8+9+2)</f>
        <v>0.7633587786</v>
      </c>
      <c r="O68" s="47">
        <f>100*(1+1+2+2)/(9+9+13+1+14+7+10+1+1+7+10+15+2+13+8+9+2)</f>
        <v>4.580152672</v>
      </c>
      <c r="P68" s="47">
        <f>100*(13+10+15+9)/(9+9+13+1+14+7+10+1+1+7+10+15+2+13+8+9+2)</f>
        <v>35.8778626</v>
      </c>
      <c r="Q68" s="47">
        <f>100*(9+7+10+8)/(9+9+13+1+14+7+10+1+1+7+10+15+2+13+8+9+2)</f>
        <v>25.95419847</v>
      </c>
      <c r="R68" s="47">
        <f>100*(9+14+7+13)/(9+9+13+1+14+7+10+1+1+7+10+15+2+13+8+9+2)</f>
        <v>32.82442748</v>
      </c>
      <c r="S68" s="34">
        <f t="shared" si="3"/>
        <v>100</v>
      </c>
      <c r="T68" s="35">
        <f t="shared" si="4"/>
        <v>5.34351145</v>
      </c>
      <c r="U68" s="35">
        <f t="shared" si="5"/>
        <v>94.65648855</v>
      </c>
      <c r="V68" s="34">
        <f t="shared" si="6"/>
        <v>100</v>
      </c>
      <c r="W68" s="35">
        <f t="shared" si="7"/>
        <v>5.34351145</v>
      </c>
      <c r="X68" s="35">
        <f t="shared" si="8"/>
        <v>35.8778626</v>
      </c>
      <c r="Y68" s="31">
        <f t="shared" si="9"/>
        <v>58.77862595</v>
      </c>
      <c r="Z68" s="36">
        <f t="shared" ref="Z68:AD68" si="73">_xlfn.RANK.EQ(N68,$N68:$R68, 1)</f>
        <v>1</v>
      </c>
      <c r="AA68" s="36">
        <f t="shared" si="73"/>
        <v>2</v>
      </c>
      <c r="AB68" s="36">
        <f t="shared" si="73"/>
        <v>5</v>
      </c>
      <c r="AC68" s="36">
        <f t="shared" si="73"/>
        <v>3</v>
      </c>
      <c r="AD68" s="36">
        <f t="shared" si="73"/>
        <v>4</v>
      </c>
      <c r="AE68" s="37"/>
    </row>
    <row r="69">
      <c r="A69" s="38" t="s">
        <v>103</v>
      </c>
      <c r="B69" s="28">
        <v>10.0</v>
      </c>
      <c r="C69" s="29">
        <v>0.15</v>
      </c>
      <c r="D69" s="28">
        <v>0.0</v>
      </c>
      <c r="E69" s="29">
        <v>0.0</v>
      </c>
      <c r="F69" s="28">
        <v>1.0</v>
      </c>
      <c r="G69" s="29">
        <v>0.3</v>
      </c>
      <c r="H69" s="28">
        <v>2.0</v>
      </c>
      <c r="I69" s="29">
        <v>0.4</v>
      </c>
      <c r="J69" s="28">
        <v>0.0</v>
      </c>
      <c r="K69" s="29">
        <v>0.0</v>
      </c>
      <c r="L69" s="30">
        <v>0.15</v>
      </c>
      <c r="M69" s="31">
        <f t="shared" si="2"/>
        <v>1</v>
      </c>
      <c r="N69" s="32">
        <v>0.0</v>
      </c>
      <c r="O69" s="41">
        <f>100*1/(6+15+10+1)</f>
        <v>3.125</v>
      </c>
      <c r="P69" s="41">
        <f>10*100/(6+15+10+1)</f>
        <v>31.25</v>
      </c>
      <c r="Q69" s="41">
        <f>15*100/(6+15+10+1)</f>
        <v>46.875</v>
      </c>
      <c r="R69" s="41">
        <f>6*100/(6+15+10+1)</f>
        <v>18.75</v>
      </c>
      <c r="S69" s="34">
        <f t="shared" si="3"/>
        <v>100</v>
      </c>
      <c r="T69" s="35">
        <f t="shared" si="4"/>
        <v>3.125</v>
      </c>
      <c r="U69" s="35">
        <f t="shared" si="5"/>
        <v>96.875</v>
      </c>
      <c r="V69" s="34">
        <f t="shared" si="6"/>
        <v>100</v>
      </c>
      <c r="W69" s="35">
        <f t="shared" si="7"/>
        <v>3.125</v>
      </c>
      <c r="X69" s="35">
        <f t="shared" si="8"/>
        <v>31.25</v>
      </c>
      <c r="Y69" s="31">
        <f t="shared" si="9"/>
        <v>65.625</v>
      </c>
      <c r="Z69" s="36">
        <f t="shared" ref="Z69:AD69" si="74">_xlfn.RANK.EQ(N69,$N69:$R69, 1)</f>
        <v>1</v>
      </c>
      <c r="AA69" s="36">
        <f t="shared" si="74"/>
        <v>2</v>
      </c>
      <c r="AB69" s="36">
        <f t="shared" si="74"/>
        <v>4</v>
      </c>
      <c r="AC69" s="36">
        <f t="shared" si="74"/>
        <v>5</v>
      </c>
      <c r="AD69" s="36">
        <f t="shared" si="74"/>
        <v>3</v>
      </c>
      <c r="AE69" s="37"/>
    </row>
    <row r="70">
      <c r="A70" s="38" t="s">
        <v>104</v>
      </c>
      <c r="B70" s="28">
        <v>12.0</v>
      </c>
      <c r="C70" s="29">
        <v>0.15</v>
      </c>
      <c r="D70" s="28">
        <v>0.0</v>
      </c>
      <c r="E70" s="29">
        <v>0.0</v>
      </c>
      <c r="F70" s="28">
        <v>1.0</v>
      </c>
      <c r="G70" s="29">
        <v>0.35</v>
      </c>
      <c r="H70" s="28">
        <v>2.0</v>
      </c>
      <c r="I70" s="29">
        <v>0.5</v>
      </c>
      <c r="J70" s="28">
        <v>0.0</v>
      </c>
      <c r="K70" s="29">
        <v>0.0</v>
      </c>
      <c r="L70" s="30">
        <v>0.0</v>
      </c>
      <c r="M70" s="31">
        <f t="shared" si="2"/>
        <v>1</v>
      </c>
      <c r="N70" s="32">
        <v>0.0</v>
      </c>
      <c r="O70" s="41">
        <f>100*1/(7+7+10+11+11+14+1)</f>
        <v>1.639344262</v>
      </c>
      <c r="P70" s="41">
        <f>100*24/(7+7+10+11+11+14+1)</f>
        <v>39.3442623</v>
      </c>
      <c r="Q70" s="41">
        <f t="shared" ref="Q70:R70" si="75">100*18/(7+7+10+11+11+14+1)</f>
        <v>29.50819672</v>
      </c>
      <c r="R70" s="41">
        <f t="shared" si="75"/>
        <v>29.50819672</v>
      </c>
      <c r="S70" s="34">
        <f t="shared" si="3"/>
        <v>100</v>
      </c>
      <c r="T70" s="35">
        <f t="shared" si="4"/>
        <v>1.639344262</v>
      </c>
      <c r="U70" s="35">
        <f t="shared" si="5"/>
        <v>98.36065574</v>
      </c>
      <c r="V70" s="34">
        <f t="shared" si="6"/>
        <v>100</v>
      </c>
      <c r="W70" s="35">
        <f t="shared" si="7"/>
        <v>1.639344262</v>
      </c>
      <c r="X70" s="35">
        <f t="shared" si="8"/>
        <v>39.3442623</v>
      </c>
      <c r="Y70" s="31">
        <f t="shared" si="9"/>
        <v>59.01639344</v>
      </c>
      <c r="Z70" s="36">
        <f t="shared" ref="Z70:AD70" si="76">_xlfn.RANK.EQ(N70,$N70:$R70, 1)</f>
        <v>1</v>
      </c>
      <c r="AA70" s="36">
        <f t="shared" si="76"/>
        <v>2</v>
      </c>
      <c r="AB70" s="36">
        <f t="shared" si="76"/>
        <v>5</v>
      </c>
      <c r="AC70" s="36">
        <f t="shared" si="76"/>
        <v>3</v>
      </c>
      <c r="AD70" s="36">
        <f t="shared" si="76"/>
        <v>3</v>
      </c>
      <c r="AE70" s="37"/>
    </row>
    <row r="71">
      <c r="A71" s="38" t="s">
        <v>105</v>
      </c>
      <c r="B71" s="28">
        <v>0.0</v>
      </c>
      <c r="C71" s="29">
        <v>0.0</v>
      </c>
      <c r="D71" s="28">
        <v>0.0</v>
      </c>
      <c r="E71" s="29">
        <v>0.0</v>
      </c>
      <c r="F71" s="28">
        <v>1.0</v>
      </c>
      <c r="G71" s="29">
        <v>0.3</v>
      </c>
      <c r="H71" s="28">
        <v>2.0</v>
      </c>
      <c r="I71" s="29">
        <v>0.5</v>
      </c>
      <c r="J71" s="28">
        <v>10.0</v>
      </c>
      <c r="K71" s="29">
        <v>0.1</v>
      </c>
      <c r="L71" s="30">
        <v>0.1</v>
      </c>
      <c r="M71" s="31">
        <f t="shared" si="2"/>
        <v>1</v>
      </c>
      <c r="N71" s="32">
        <v>0.0</v>
      </c>
      <c r="O71" s="32">
        <v>0.0</v>
      </c>
      <c r="P71" s="41">
        <f>300/(54+54+3)</f>
        <v>2.702702703</v>
      </c>
      <c r="Q71" s="41">
        <f t="shared" ref="Q71:R71" si="77">5400/(54+54+3)</f>
        <v>48.64864865</v>
      </c>
      <c r="R71" s="42">
        <f t="shared" si="77"/>
        <v>48.64864865</v>
      </c>
      <c r="S71" s="34">
        <f t="shared" si="3"/>
        <v>100</v>
      </c>
      <c r="T71" s="35">
        <f t="shared" si="4"/>
        <v>0</v>
      </c>
      <c r="U71" s="35">
        <f t="shared" si="5"/>
        <v>100</v>
      </c>
      <c r="V71" s="34">
        <f t="shared" si="6"/>
        <v>100</v>
      </c>
      <c r="W71" s="35">
        <f t="shared" si="7"/>
        <v>0</v>
      </c>
      <c r="X71" s="35">
        <f t="shared" si="8"/>
        <v>2.702702703</v>
      </c>
      <c r="Y71" s="31">
        <f t="shared" si="9"/>
        <v>97.2972973</v>
      </c>
      <c r="Z71" s="36">
        <f t="shared" ref="Z71:AD71" si="78">_xlfn.RANK.EQ(N71,$N71:$R71, 1)</f>
        <v>1</v>
      </c>
      <c r="AA71" s="36">
        <f t="shared" si="78"/>
        <v>1</v>
      </c>
      <c r="AB71" s="36">
        <f t="shared" si="78"/>
        <v>3</v>
      </c>
      <c r="AC71" s="36">
        <f t="shared" si="78"/>
        <v>4</v>
      </c>
      <c r="AD71" s="36">
        <f t="shared" si="78"/>
        <v>4</v>
      </c>
      <c r="AE71" s="37"/>
    </row>
    <row r="72">
      <c r="A72" s="40" t="s">
        <v>106</v>
      </c>
      <c r="B72" s="28">
        <v>12.0</v>
      </c>
      <c r="C72" s="29">
        <v>0.1</v>
      </c>
      <c r="D72" s="28">
        <v>3.0</v>
      </c>
      <c r="E72" s="29">
        <v>0.15</v>
      </c>
      <c r="F72" s="28">
        <v>1.0</v>
      </c>
      <c r="G72" s="29">
        <v>0.25</v>
      </c>
      <c r="H72" s="28">
        <v>2.0</v>
      </c>
      <c r="I72" s="29">
        <v>0.4</v>
      </c>
      <c r="J72" s="28">
        <v>12.0</v>
      </c>
      <c r="K72" s="29">
        <v>0.05</v>
      </c>
      <c r="L72" s="30">
        <v>0.05</v>
      </c>
      <c r="M72" s="31">
        <f t="shared" si="2"/>
        <v>1</v>
      </c>
      <c r="N72" s="45">
        <v>0.0</v>
      </c>
      <c r="O72" s="44">
        <v>1.17</v>
      </c>
      <c r="P72" s="44">
        <v>28.24</v>
      </c>
      <c r="Q72" s="44">
        <v>2.35</v>
      </c>
      <c r="R72" s="44">
        <v>68.24</v>
      </c>
      <c r="S72" s="34">
        <f t="shared" si="3"/>
        <v>100</v>
      </c>
      <c r="T72" s="35">
        <f t="shared" si="4"/>
        <v>1.17</v>
      </c>
      <c r="U72" s="35">
        <f t="shared" si="5"/>
        <v>98.83</v>
      </c>
      <c r="V72" s="34">
        <f t="shared" si="6"/>
        <v>100</v>
      </c>
      <c r="W72" s="35">
        <f t="shared" si="7"/>
        <v>1.17</v>
      </c>
      <c r="X72" s="35">
        <f t="shared" si="8"/>
        <v>28.24</v>
      </c>
      <c r="Y72" s="31">
        <f t="shared" si="9"/>
        <v>70.59</v>
      </c>
      <c r="Z72" s="36">
        <f t="shared" ref="Z72:AD72" si="79">_xlfn.RANK.EQ(N72,$N72:$R72, 1)</f>
        <v>1</v>
      </c>
      <c r="AA72" s="36">
        <f t="shared" si="79"/>
        <v>2</v>
      </c>
      <c r="AB72" s="36">
        <f t="shared" si="79"/>
        <v>4</v>
      </c>
      <c r="AC72" s="36">
        <f t="shared" si="79"/>
        <v>3</v>
      </c>
      <c r="AD72" s="36">
        <f t="shared" si="79"/>
        <v>5</v>
      </c>
      <c r="AE72" s="37"/>
    </row>
    <row r="73">
      <c r="A73" s="38" t="s">
        <v>107</v>
      </c>
      <c r="B73" s="28">
        <v>12.0</v>
      </c>
      <c r="C73" s="29">
        <v>0.2</v>
      </c>
      <c r="D73" s="28">
        <v>0.0</v>
      </c>
      <c r="E73" s="29">
        <v>0.0</v>
      </c>
      <c r="F73" s="28">
        <v>1.0</v>
      </c>
      <c r="G73" s="29">
        <v>0.35</v>
      </c>
      <c r="H73" s="28">
        <v>3.0</v>
      </c>
      <c r="I73" s="29">
        <v>0.45</v>
      </c>
      <c r="J73" s="28">
        <v>0.0</v>
      </c>
      <c r="K73" s="29">
        <v>0.0</v>
      </c>
      <c r="L73" s="30">
        <v>0.0</v>
      </c>
      <c r="M73" s="31">
        <f t="shared" si="2"/>
        <v>1</v>
      </c>
      <c r="N73" s="41">
        <f>100/(113+20+9+1)</f>
        <v>0.6993006993</v>
      </c>
      <c r="O73" s="41">
        <f>100*0/(113+20+9+1)</f>
        <v>0</v>
      </c>
      <c r="P73" s="41">
        <f>100*9/(113+20+9+1)</f>
        <v>6.293706294</v>
      </c>
      <c r="Q73" s="41">
        <f>100*20/(113+20+9+1)</f>
        <v>13.98601399</v>
      </c>
      <c r="R73" s="41">
        <f>100*113/(113+20+9+1)</f>
        <v>79.02097902</v>
      </c>
      <c r="S73" s="34">
        <f t="shared" si="3"/>
        <v>100</v>
      </c>
      <c r="T73" s="35">
        <f t="shared" si="4"/>
        <v>0.6993006993</v>
      </c>
      <c r="U73" s="35">
        <f t="shared" si="5"/>
        <v>99.3006993</v>
      </c>
      <c r="V73" s="34">
        <f t="shared" si="6"/>
        <v>100</v>
      </c>
      <c r="W73" s="35">
        <f t="shared" si="7"/>
        <v>0.6993006993</v>
      </c>
      <c r="X73" s="35">
        <f t="shared" si="8"/>
        <v>6.293706294</v>
      </c>
      <c r="Y73" s="31">
        <f t="shared" si="9"/>
        <v>93.00699301</v>
      </c>
      <c r="Z73" s="36">
        <f t="shared" ref="Z73:AD73" si="80">_xlfn.RANK.EQ(N73,$N73:$R73, 1)</f>
        <v>2</v>
      </c>
      <c r="AA73" s="36">
        <f t="shared" si="80"/>
        <v>1</v>
      </c>
      <c r="AB73" s="36">
        <f t="shared" si="80"/>
        <v>3</v>
      </c>
      <c r="AC73" s="36">
        <f t="shared" si="80"/>
        <v>4</v>
      </c>
      <c r="AD73" s="36">
        <f t="shared" si="80"/>
        <v>5</v>
      </c>
      <c r="AE73" s="37"/>
    </row>
    <row r="74">
      <c r="A74" s="38" t="s">
        <v>108</v>
      </c>
      <c r="B74" s="28">
        <v>0.0</v>
      </c>
      <c r="C74" s="29">
        <v>0.0</v>
      </c>
      <c r="D74" s="28">
        <v>0.0</v>
      </c>
      <c r="E74" s="29">
        <v>0.0</v>
      </c>
      <c r="F74" s="28">
        <v>1.0</v>
      </c>
      <c r="G74" s="29">
        <v>0.3</v>
      </c>
      <c r="H74" s="28">
        <v>2.0</v>
      </c>
      <c r="I74" s="29">
        <v>0.5</v>
      </c>
      <c r="J74" s="28">
        <v>12.0</v>
      </c>
      <c r="K74" s="29">
        <v>0.2</v>
      </c>
      <c r="L74" s="30">
        <v>0.0</v>
      </c>
      <c r="M74" s="31">
        <f t="shared" si="2"/>
        <v>1</v>
      </c>
      <c r="N74" s="45">
        <f>100*1/(10+9+6+8+12+8+1+10+12+8+3)</f>
        <v>1.149425287</v>
      </c>
      <c r="O74" s="45">
        <f>100*3/(10+9+6+8+12+8+1+10+12+8+3)</f>
        <v>3.448275862</v>
      </c>
      <c r="P74" s="45">
        <f>100*(6+8+8)/(10+9+6+8+12+8+1+10+12+8+3)</f>
        <v>25.28735632</v>
      </c>
      <c r="Q74" s="45">
        <f>100*(9+12+12)/(10+9+6+8+12+8+1+10+12+8+3)</f>
        <v>37.93103448</v>
      </c>
      <c r="R74" s="45">
        <f>100*(10+8+10)/(10+9+6+8+12+8+1+10+12+8+3)</f>
        <v>32.18390805</v>
      </c>
      <c r="S74" s="34">
        <f t="shared" si="3"/>
        <v>100</v>
      </c>
      <c r="T74" s="35">
        <f t="shared" si="4"/>
        <v>4.597701149</v>
      </c>
      <c r="U74" s="35">
        <f t="shared" si="5"/>
        <v>95.40229885</v>
      </c>
      <c r="V74" s="34">
        <f t="shared" si="6"/>
        <v>100</v>
      </c>
      <c r="W74" s="35">
        <f t="shared" si="7"/>
        <v>4.597701149</v>
      </c>
      <c r="X74" s="35">
        <f t="shared" si="8"/>
        <v>25.28735632</v>
      </c>
      <c r="Y74" s="31">
        <f t="shared" si="9"/>
        <v>70.11494253</v>
      </c>
      <c r="Z74" s="36">
        <f t="shared" ref="Z74:AD74" si="81">_xlfn.RANK.EQ(N74,$N74:$R74, 1)</f>
        <v>1</v>
      </c>
      <c r="AA74" s="36">
        <f t="shared" si="81"/>
        <v>2</v>
      </c>
      <c r="AB74" s="36">
        <f t="shared" si="81"/>
        <v>3</v>
      </c>
      <c r="AC74" s="36">
        <f t="shared" si="81"/>
        <v>5</v>
      </c>
      <c r="AD74" s="36">
        <f t="shared" si="81"/>
        <v>4</v>
      </c>
      <c r="AE74" s="37"/>
    </row>
    <row r="75">
      <c r="A75" s="38" t="s">
        <v>109</v>
      </c>
      <c r="B75" s="28">
        <v>11.0</v>
      </c>
      <c r="C75" s="29">
        <v>0.1</v>
      </c>
      <c r="D75" s="28">
        <v>0.0</v>
      </c>
      <c r="E75" s="29">
        <v>0.0</v>
      </c>
      <c r="F75" s="28">
        <v>1.0</v>
      </c>
      <c r="G75" s="29">
        <v>0.3</v>
      </c>
      <c r="H75" s="28">
        <v>3.0</v>
      </c>
      <c r="I75" s="29">
        <v>0.5</v>
      </c>
      <c r="J75" s="28">
        <v>9.0</v>
      </c>
      <c r="K75" s="29">
        <v>0.1</v>
      </c>
      <c r="L75" s="30">
        <v>0.0</v>
      </c>
      <c r="M75" s="31">
        <f t="shared" si="2"/>
        <v>1</v>
      </c>
      <c r="N75" s="45">
        <f>100*4/(10+6+10+2+16+9+6+3+7+16+10+3+16+6+10)</f>
        <v>3.076923077</v>
      </c>
      <c r="O75" s="45">
        <f>100*(8)/(10+6+10+2+16+9+6+3+7+16+10+3+16+6+10)</f>
        <v>6.153846154</v>
      </c>
      <c r="P75" s="45">
        <f>100*(10+6+9+7)/(10+6+10+2+16+9+6+3+7+16+10+3+16+6+10)</f>
        <v>24.61538462</v>
      </c>
      <c r="Q75" s="45">
        <f>100*(6+9+16+6)/(10+6+10+2+16+9+6+3+7+16+10+3+16+6+10)</f>
        <v>28.46153846</v>
      </c>
      <c r="R75" s="45">
        <f>100*(26+7+16)/(10+6+10+2+16+9+6+3+7+16+10+3+16+6+10)</f>
        <v>37.69230769</v>
      </c>
      <c r="S75" s="34">
        <f t="shared" si="3"/>
        <v>100</v>
      </c>
      <c r="T75" s="35">
        <f t="shared" si="4"/>
        <v>9.230769231</v>
      </c>
      <c r="U75" s="35">
        <f t="shared" si="5"/>
        <v>90.76923077</v>
      </c>
      <c r="V75" s="34">
        <f t="shared" si="6"/>
        <v>100</v>
      </c>
      <c r="W75" s="35">
        <f t="shared" si="7"/>
        <v>9.230769231</v>
      </c>
      <c r="X75" s="35">
        <f t="shared" si="8"/>
        <v>24.61538462</v>
      </c>
      <c r="Y75" s="31">
        <f t="shared" si="9"/>
        <v>66.15384615</v>
      </c>
      <c r="Z75" s="36">
        <f t="shared" ref="Z75:AD75" si="82">_xlfn.RANK.EQ(N75,$N75:$R75, 1)</f>
        <v>1</v>
      </c>
      <c r="AA75" s="36">
        <f t="shared" si="82"/>
        <v>2</v>
      </c>
      <c r="AB75" s="36">
        <f t="shared" si="82"/>
        <v>3</v>
      </c>
      <c r="AC75" s="36">
        <f t="shared" si="82"/>
        <v>4</v>
      </c>
      <c r="AD75" s="36">
        <f t="shared" si="82"/>
        <v>5</v>
      </c>
      <c r="AE75" s="37"/>
    </row>
    <row r="76">
      <c r="A76" s="38" t="s">
        <v>110</v>
      </c>
      <c r="B76" s="28">
        <v>21.0</v>
      </c>
      <c r="C76" s="29">
        <v>0.4</v>
      </c>
      <c r="D76" s="28">
        <v>0.0</v>
      </c>
      <c r="E76" s="29">
        <v>0.0</v>
      </c>
      <c r="F76" s="28">
        <v>0.0</v>
      </c>
      <c r="G76" s="29">
        <v>0.0</v>
      </c>
      <c r="H76" s="28">
        <v>3.0</v>
      </c>
      <c r="I76" s="29">
        <v>0.55</v>
      </c>
      <c r="J76" s="28">
        <v>0.0</v>
      </c>
      <c r="K76" s="29">
        <v>0.0</v>
      </c>
      <c r="L76" s="30">
        <v>0.05</v>
      </c>
      <c r="M76" s="31">
        <f t="shared" si="2"/>
        <v>1</v>
      </c>
      <c r="N76" s="41">
        <f>100/(15+1+6+20+3+19+2+13+9+2+1+16+5+1+16+3)</f>
        <v>0.7575757576</v>
      </c>
      <c r="O76" s="41">
        <f>100*0/(15+1+6+20+3+19+2+13+9+2+1+16+5+1+16+3)</f>
        <v>0</v>
      </c>
      <c r="P76" s="41">
        <f>100*17/(15+1+6+20+3+19+2+13+9+2+1+16+5+1+16+3)</f>
        <v>12.87878788</v>
      </c>
      <c r="Q76" s="41">
        <f>100*(1+7+8+9+5+4)/(15+1+6+20+3+19+2+13+9+2+1+16+5+1+16+3)</f>
        <v>25.75757576</v>
      </c>
      <c r="R76" s="41">
        <f>100*(28+24+28)/(15+1+6+20+3+19+2+13+9+2+1+16+5+1+16+3)</f>
        <v>60.60606061</v>
      </c>
      <c r="S76" s="34">
        <f t="shared" si="3"/>
        <v>100</v>
      </c>
      <c r="T76" s="35">
        <f t="shared" si="4"/>
        <v>0.7575757576</v>
      </c>
      <c r="U76" s="35">
        <f t="shared" si="5"/>
        <v>99.24242424</v>
      </c>
      <c r="V76" s="34">
        <f t="shared" si="6"/>
        <v>100</v>
      </c>
      <c r="W76" s="35">
        <f t="shared" si="7"/>
        <v>0.7575757576</v>
      </c>
      <c r="X76" s="35">
        <f t="shared" si="8"/>
        <v>12.87878788</v>
      </c>
      <c r="Y76" s="31">
        <f t="shared" si="9"/>
        <v>86.36363636</v>
      </c>
      <c r="Z76" s="36">
        <f t="shared" ref="Z76:AD76" si="83">_xlfn.RANK.EQ(N76,$N76:$R76, 1)</f>
        <v>2</v>
      </c>
      <c r="AA76" s="36">
        <f t="shared" si="83"/>
        <v>1</v>
      </c>
      <c r="AB76" s="36">
        <f t="shared" si="83"/>
        <v>3</v>
      </c>
      <c r="AC76" s="36">
        <f t="shared" si="83"/>
        <v>4</v>
      </c>
      <c r="AD76" s="36">
        <f t="shared" si="83"/>
        <v>5</v>
      </c>
      <c r="AE76" s="37"/>
    </row>
    <row r="77">
      <c r="A77" s="38" t="s">
        <v>111</v>
      </c>
      <c r="B77" s="28">
        <v>9.0</v>
      </c>
      <c r="C77" s="29">
        <v>0.1</v>
      </c>
      <c r="D77" s="28">
        <v>0.0</v>
      </c>
      <c r="E77" s="29">
        <v>0.0</v>
      </c>
      <c r="F77" s="28">
        <v>1.0</v>
      </c>
      <c r="G77" s="29">
        <v>0.4</v>
      </c>
      <c r="H77" s="28">
        <v>2.0</v>
      </c>
      <c r="I77" s="29">
        <v>0.45</v>
      </c>
      <c r="J77" s="28">
        <v>0.0</v>
      </c>
      <c r="K77" s="29">
        <v>0.0</v>
      </c>
      <c r="L77" s="30">
        <v>0.05</v>
      </c>
      <c r="M77" s="31">
        <f t="shared" si="2"/>
        <v>1</v>
      </c>
      <c r="N77" s="41">
        <f>100*2/(23+14+6+1+2)</f>
        <v>4.347826087</v>
      </c>
      <c r="O77" s="41">
        <f>100*1/(23+14+6+1+2)</f>
        <v>2.173913043</v>
      </c>
      <c r="P77" s="41">
        <f>100*6/(23+14+6+1+2)</f>
        <v>13.04347826</v>
      </c>
      <c r="Q77" s="41">
        <f>100*14/(23+14+6+1+2)</f>
        <v>30.43478261</v>
      </c>
      <c r="R77" s="41">
        <f>100*23/(23+14+6+1+2)</f>
        <v>50</v>
      </c>
      <c r="S77" s="34">
        <f t="shared" si="3"/>
        <v>100</v>
      </c>
      <c r="T77" s="35">
        <f t="shared" si="4"/>
        <v>6.52173913</v>
      </c>
      <c r="U77" s="35">
        <f t="shared" si="5"/>
        <v>93.47826087</v>
      </c>
      <c r="V77" s="34">
        <f t="shared" si="6"/>
        <v>100</v>
      </c>
      <c r="W77" s="35">
        <f t="shared" si="7"/>
        <v>6.52173913</v>
      </c>
      <c r="X77" s="35">
        <f t="shared" si="8"/>
        <v>13.04347826</v>
      </c>
      <c r="Y77" s="31">
        <f t="shared" si="9"/>
        <v>80.43478261</v>
      </c>
      <c r="Z77" s="36">
        <f t="shared" ref="Z77:AD77" si="84">_xlfn.RANK.EQ(N77,$N77:$R77, 1)</f>
        <v>2</v>
      </c>
      <c r="AA77" s="36">
        <f t="shared" si="84"/>
        <v>1</v>
      </c>
      <c r="AB77" s="36">
        <f t="shared" si="84"/>
        <v>3</v>
      </c>
      <c r="AC77" s="36">
        <f t="shared" si="84"/>
        <v>4</v>
      </c>
      <c r="AD77" s="36">
        <f t="shared" si="84"/>
        <v>5</v>
      </c>
      <c r="AE77" s="37"/>
    </row>
    <row r="78">
      <c r="A78" s="40" t="s">
        <v>112</v>
      </c>
      <c r="B78" s="28">
        <v>12.0</v>
      </c>
      <c r="C78" s="29">
        <v>0.1</v>
      </c>
      <c r="D78" s="28">
        <v>3.0</v>
      </c>
      <c r="E78" s="29">
        <v>0.15</v>
      </c>
      <c r="F78" s="28">
        <v>1.0</v>
      </c>
      <c r="G78" s="29">
        <v>0.25</v>
      </c>
      <c r="H78" s="28">
        <v>2.0</v>
      </c>
      <c r="I78" s="29">
        <v>0.4</v>
      </c>
      <c r="J78" s="28">
        <v>12.0</v>
      </c>
      <c r="K78" s="29">
        <v>0.05</v>
      </c>
      <c r="L78" s="30">
        <v>0.05</v>
      </c>
      <c r="M78" s="31">
        <f t="shared" si="2"/>
        <v>1</v>
      </c>
      <c r="N78" s="41">
        <f>100*(1)/(9+12+4+7+14+4+21+4+13+12+19+7+24)</f>
        <v>0.6666666667</v>
      </c>
      <c r="O78" s="41">
        <f>100*(4)/(9+12+4+7+14+4+21+4+13+12+19+7+24)</f>
        <v>2.666666667</v>
      </c>
      <c r="P78" s="41">
        <f>100*(21)/(9+12+4+7+14+4+21+4+13+12+19+7+24)</f>
        <v>14</v>
      </c>
      <c r="Q78" s="41">
        <f>100*(12+14+19+12+11)/(9+12+4+7+14+4+21+4+13+12+19+7+24)</f>
        <v>45.33333333</v>
      </c>
      <c r="R78" s="41">
        <f>100*(9+7+11+13+7+9)/(9+12+4+7+14+4+21+4+13+12+19+7+24)</f>
        <v>37.33333333</v>
      </c>
      <c r="S78" s="34">
        <f t="shared" si="3"/>
        <v>100</v>
      </c>
      <c r="T78" s="35">
        <f t="shared" si="4"/>
        <v>3.333333333</v>
      </c>
      <c r="U78" s="35">
        <f t="shared" si="5"/>
        <v>96.66666667</v>
      </c>
      <c r="V78" s="34">
        <f t="shared" si="6"/>
        <v>100</v>
      </c>
      <c r="W78" s="35">
        <f t="shared" si="7"/>
        <v>3.333333333</v>
      </c>
      <c r="X78" s="35">
        <f t="shared" si="8"/>
        <v>14</v>
      </c>
      <c r="Y78" s="31">
        <f t="shared" si="9"/>
        <v>82.66666667</v>
      </c>
      <c r="Z78" s="36">
        <f t="shared" ref="Z78:AD78" si="85">_xlfn.RANK.EQ(N78,$N78:$R78, 1)</f>
        <v>1</v>
      </c>
      <c r="AA78" s="36">
        <f t="shared" si="85"/>
        <v>2</v>
      </c>
      <c r="AB78" s="36">
        <f t="shared" si="85"/>
        <v>3</v>
      </c>
      <c r="AC78" s="36">
        <f t="shared" si="85"/>
        <v>5</v>
      </c>
      <c r="AD78" s="36">
        <f t="shared" si="85"/>
        <v>4</v>
      </c>
      <c r="AE78" s="37"/>
    </row>
    <row r="79">
      <c r="A79" s="38" t="s">
        <v>113</v>
      </c>
      <c r="B79" s="28">
        <v>21.0</v>
      </c>
      <c r="C79" s="29">
        <v>0.4</v>
      </c>
      <c r="D79" s="28">
        <v>0.0</v>
      </c>
      <c r="E79" s="29">
        <v>0.0</v>
      </c>
      <c r="F79" s="28">
        <v>0.0</v>
      </c>
      <c r="G79" s="29">
        <v>0.0</v>
      </c>
      <c r="H79" s="28">
        <v>3.0</v>
      </c>
      <c r="I79" s="29">
        <v>0.55</v>
      </c>
      <c r="J79" s="28">
        <v>0.0</v>
      </c>
      <c r="K79" s="29">
        <v>0.0</v>
      </c>
      <c r="L79" s="30">
        <v>0.05</v>
      </c>
      <c r="M79" s="31">
        <f t="shared" si="2"/>
        <v>1</v>
      </c>
      <c r="N79" s="41">
        <f>100*1/(14+4+1+22+19+18)</f>
        <v>1.282051282</v>
      </c>
      <c r="O79" s="41">
        <f>100*0/(14+4+1+22+19+18)</f>
        <v>0</v>
      </c>
      <c r="P79" s="41">
        <f>100*1/(14+4+1+22+19+18)</f>
        <v>1.282051282</v>
      </c>
      <c r="Q79" s="41">
        <f>100*7/(14+4+1+22+19+18)</f>
        <v>8.974358974</v>
      </c>
      <c r="R79" s="41">
        <f>100*(14+21+17+17)/(14+4+1+22+19+18)</f>
        <v>88.46153846</v>
      </c>
      <c r="S79" s="34">
        <f t="shared" si="3"/>
        <v>100</v>
      </c>
      <c r="T79" s="35">
        <f t="shared" si="4"/>
        <v>1.282051282</v>
      </c>
      <c r="U79" s="35">
        <f t="shared" si="5"/>
        <v>98.71794872</v>
      </c>
      <c r="V79" s="34">
        <f t="shared" si="6"/>
        <v>100</v>
      </c>
      <c r="W79" s="35">
        <f t="shared" si="7"/>
        <v>1.282051282</v>
      </c>
      <c r="X79" s="35">
        <f t="shared" si="8"/>
        <v>1.282051282</v>
      </c>
      <c r="Y79" s="31">
        <f t="shared" si="9"/>
        <v>97.43589744</v>
      </c>
      <c r="Z79" s="36">
        <f t="shared" ref="Z79:AD79" si="86">_xlfn.RANK.EQ(N79,$N79:$R79, 1)</f>
        <v>2</v>
      </c>
      <c r="AA79" s="36">
        <f t="shared" si="86"/>
        <v>1</v>
      </c>
      <c r="AB79" s="36">
        <f t="shared" si="86"/>
        <v>2</v>
      </c>
      <c r="AC79" s="36">
        <f t="shared" si="86"/>
        <v>4</v>
      </c>
      <c r="AD79" s="36">
        <f t="shared" si="86"/>
        <v>5</v>
      </c>
      <c r="AE79" s="37"/>
    </row>
    <row r="80">
      <c r="A80" s="40" t="s">
        <v>114</v>
      </c>
      <c r="B80" s="28">
        <v>12.0</v>
      </c>
      <c r="C80" s="29">
        <v>0.15</v>
      </c>
      <c r="D80" s="28">
        <v>0.0</v>
      </c>
      <c r="E80" s="29">
        <v>0.0</v>
      </c>
      <c r="F80" s="28">
        <v>1.0</v>
      </c>
      <c r="G80" s="29">
        <v>0.35</v>
      </c>
      <c r="H80" s="28">
        <v>3.0</v>
      </c>
      <c r="I80" s="29">
        <v>0.45</v>
      </c>
      <c r="J80" s="28">
        <v>0.0</v>
      </c>
      <c r="K80" s="29">
        <v>0.0</v>
      </c>
      <c r="L80" s="30">
        <v>0.05</v>
      </c>
      <c r="M80" s="31">
        <f t="shared" si="2"/>
        <v>1</v>
      </c>
      <c r="N80" s="32">
        <v>0.0</v>
      </c>
      <c r="O80" s="32">
        <v>0.0</v>
      </c>
      <c r="P80" s="32">
        <v>5.05</v>
      </c>
      <c r="Q80" s="32">
        <v>36.36</v>
      </c>
      <c r="R80" s="32">
        <v>58.59</v>
      </c>
      <c r="S80" s="34">
        <f t="shared" si="3"/>
        <v>100</v>
      </c>
      <c r="T80" s="35">
        <f t="shared" si="4"/>
        <v>0</v>
      </c>
      <c r="U80" s="35">
        <f t="shared" si="5"/>
        <v>100</v>
      </c>
      <c r="V80" s="34">
        <f t="shared" si="6"/>
        <v>100</v>
      </c>
      <c r="W80" s="35">
        <f t="shared" si="7"/>
        <v>0</v>
      </c>
      <c r="X80" s="35">
        <f t="shared" si="8"/>
        <v>5.05</v>
      </c>
      <c r="Y80" s="31">
        <f t="shared" si="9"/>
        <v>94.95</v>
      </c>
      <c r="Z80" s="36">
        <f t="shared" ref="Z80:AD80" si="87">_xlfn.RANK.EQ(N80,$N80:$R80, 1)</f>
        <v>1</v>
      </c>
      <c r="AA80" s="36">
        <f t="shared" si="87"/>
        <v>1</v>
      </c>
      <c r="AB80" s="36">
        <f t="shared" si="87"/>
        <v>3</v>
      </c>
      <c r="AC80" s="36">
        <f t="shared" si="87"/>
        <v>4</v>
      </c>
      <c r="AD80" s="36">
        <f t="shared" si="87"/>
        <v>5</v>
      </c>
      <c r="AE80" s="37"/>
    </row>
    <row r="81">
      <c r="A81" s="38" t="s">
        <v>115</v>
      </c>
      <c r="B81" s="28">
        <v>10.0</v>
      </c>
      <c r="C81" s="29">
        <v>0.15</v>
      </c>
      <c r="D81" s="28">
        <v>0.0</v>
      </c>
      <c r="E81" s="29">
        <v>0.0</v>
      </c>
      <c r="F81" s="28">
        <v>1.0</v>
      </c>
      <c r="G81" s="29">
        <v>0.3</v>
      </c>
      <c r="H81" s="28">
        <v>2.0</v>
      </c>
      <c r="I81" s="29">
        <v>0.4</v>
      </c>
      <c r="J81" s="28">
        <v>3.0</v>
      </c>
      <c r="K81" s="29">
        <v>0.15</v>
      </c>
      <c r="L81" s="30">
        <v>0.0</v>
      </c>
      <c r="M81" s="31">
        <f t="shared" si="2"/>
        <v>1</v>
      </c>
      <c r="N81" s="32">
        <v>0.0</v>
      </c>
      <c r="O81" s="32">
        <v>0.0</v>
      </c>
      <c r="P81" s="32">
        <v>2.53</v>
      </c>
      <c r="Q81" s="32">
        <v>16.46</v>
      </c>
      <c r="R81" s="32">
        <v>81.01</v>
      </c>
      <c r="S81" s="34">
        <f t="shared" si="3"/>
        <v>100</v>
      </c>
      <c r="T81" s="35">
        <f t="shared" si="4"/>
        <v>0</v>
      </c>
      <c r="U81" s="35">
        <f t="shared" si="5"/>
        <v>100</v>
      </c>
      <c r="V81" s="34">
        <f t="shared" si="6"/>
        <v>100</v>
      </c>
      <c r="W81" s="35">
        <f t="shared" si="7"/>
        <v>0</v>
      </c>
      <c r="X81" s="35">
        <f t="shared" si="8"/>
        <v>2.53</v>
      </c>
      <c r="Y81" s="31">
        <f t="shared" si="9"/>
        <v>97.47</v>
      </c>
      <c r="Z81" s="36">
        <f t="shared" ref="Z81:AD81" si="88">_xlfn.RANK.EQ(N81,$N81:$R81, 1)</f>
        <v>1</v>
      </c>
      <c r="AA81" s="36">
        <f t="shared" si="88"/>
        <v>1</v>
      </c>
      <c r="AB81" s="36">
        <f t="shared" si="88"/>
        <v>3</v>
      </c>
      <c r="AC81" s="36">
        <f t="shared" si="88"/>
        <v>4</v>
      </c>
      <c r="AD81" s="36">
        <f t="shared" si="88"/>
        <v>5</v>
      </c>
      <c r="AE81" s="37"/>
    </row>
    <row r="82">
      <c r="A82" s="38" t="s">
        <v>116</v>
      </c>
      <c r="B82" s="28">
        <v>10.0</v>
      </c>
      <c r="C82" s="29">
        <v>0.1</v>
      </c>
      <c r="D82" s="28">
        <v>0.0</v>
      </c>
      <c r="E82" s="29">
        <v>0.0</v>
      </c>
      <c r="F82" s="28">
        <v>1.0</v>
      </c>
      <c r="G82" s="29">
        <v>0.35</v>
      </c>
      <c r="H82" s="28">
        <v>2.0</v>
      </c>
      <c r="I82" s="29">
        <v>0.4</v>
      </c>
      <c r="J82" s="28">
        <v>4.0</v>
      </c>
      <c r="K82" s="29">
        <v>0.1</v>
      </c>
      <c r="L82" s="30">
        <v>0.05</v>
      </c>
      <c r="M82" s="31">
        <f t="shared" si="2"/>
        <v>1</v>
      </c>
      <c r="N82" s="32">
        <v>0.0</v>
      </c>
      <c r="O82" s="32">
        <v>0.0</v>
      </c>
      <c r="P82" s="32">
        <v>2.38</v>
      </c>
      <c r="Q82" s="32">
        <v>57.14</v>
      </c>
      <c r="R82" s="32">
        <v>40.48</v>
      </c>
      <c r="S82" s="34">
        <f t="shared" si="3"/>
        <v>100</v>
      </c>
      <c r="T82" s="35">
        <f t="shared" si="4"/>
        <v>0</v>
      </c>
      <c r="U82" s="35">
        <f t="shared" si="5"/>
        <v>100</v>
      </c>
      <c r="V82" s="34">
        <f t="shared" si="6"/>
        <v>100</v>
      </c>
      <c r="W82" s="35">
        <f t="shared" si="7"/>
        <v>0</v>
      </c>
      <c r="X82" s="35">
        <f t="shared" si="8"/>
        <v>2.38</v>
      </c>
      <c r="Y82" s="31">
        <f t="shared" si="9"/>
        <v>97.62</v>
      </c>
      <c r="Z82" s="36">
        <f t="shared" ref="Z82:AD82" si="89">_xlfn.RANK.EQ(N82,$N82:$R82, 1)</f>
        <v>1</v>
      </c>
      <c r="AA82" s="36">
        <f t="shared" si="89"/>
        <v>1</v>
      </c>
      <c r="AB82" s="36">
        <f t="shared" si="89"/>
        <v>3</v>
      </c>
      <c r="AC82" s="36">
        <f t="shared" si="89"/>
        <v>5</v>
      </c>
      <c r="AD82" s="36">
        <f t="shared" si="89"/>
        <v>4</v>
      </c>
      <c r="AE82" s="37"/>
    </row>
    <row r="83">
      <c r="A83" s="38" t="s">
        <v>117</v>
      </c>
      <c r="B83" s="28">
        <v>38.0</v>
      </c>
      <c r="C83" s="29">
        <v>0.49</v>
      </c>
      <c r="D83" s="28">
        <v>2.0</v>
      </c>
      <c r="E83" s="29">
        <v>0.51</v>
      </c>
      <c r="F83" s="28">
        <v>0.0</v>
      </c>
      <c r="G83" s="29">
        <v>0.0</v>
      </c>
      <c r="H83" s="28">
        <v>0.0</v>
      </c>
      <c r="I83" s="29">
        <v>0.0</v>
      </c>
      <c r="J83" s="28">
        <v>0.0</v>
      </c>
      <c r="K83" s="29">
        <v>0.0</v>
      </c>
      <c r="L83" s="30">
        <v>0.0</v>
      </c>
      <c r="M83" s="31">
        <f t="shared" si="2"/>
        <v>1</v>
      </c>
      <c r="N83" s="32">
        <v>2.27</v>
      </c>
      <c r="O83" s="32">
        <v>2.27</v>
      </c>
      <c r="P83" s="32">
        <v>9.09</v>
      </c>
      <c r="Q83" s="32">
        <v>15.92</v>
      </c>
      <c r="R83" s="32">
        <v>70.45</v>
      </c>
      <c r="S83" s="34">
        <f t="shared" si="3"/>
        <v>100</v>
      </c>
      <c r="T83" s="35">
        <f t="shared" si="4"/>
        <v>4.54</v>
      </c>
      <c r="U83" s="35">
        <f t="shared" si="5"/>
        <v>95.46</v>
      </c>
      <c r="V83" s="34">
        <f t="shared" si="6"/>
        <v>100</v>
      </c>
      <c r="W83" s="35">
        <f t="shared" si="7"/>
        <v>4.54</v>
      </c>
      <c r="X83" s="35">
        <f t="shared" si="8"/>
        <v>9.09</v>
      </c>
      <c r="Y83" s="31">
        <f t="shared" si="9"/>
        <v>86.37</v>
      </c>
      <c r="Z83" s="36">
        <f t="shared" ref="Z83:AD83" si="90">_xlfn.RANK.EQ(N83,$N83:$R83, 1)</f>
        <v>1</v>
      </c>
      <c r="AA83" s="36">
        <f t="shared" si="90"/>
        <v>1</v>
      </c>
      <c r="AB83" s="36">
        <f t="shared" si="90"/>
        <v>3</v>
      </c>
      <c r="AC83" s="36">
        <f t="shared" si="90"/>
        <v>4</v>
      </c>
      <c r="AD83" s="36">
        <f t="shared" si="90"/>
        <v>5</v>
      </c>
      <c r="AE83" s="37"/>
    </row>
    <row r="84">
      <c r="A84" s="38" t="s">
        <v>118</v>
      </c>
      <c r="B84" s="28">
        <v>6.0</v>
      </c>
      <c r="C84" s="29">
        <v>0.15</v>
      </c>
      <c r="D84" s="28">
        <v>2.0</v>
      </c>
      <c r="E84" s="29">
        <v>0.25</v>
      </c>
      <c r="F84" s="28">
        <v>0.0</v>
      </c>
      <c r="G84" s="29">
        <v>0.0</v>
      </c>
      <c r="H84" s="28">
        <v>3.0</v>
      </c>
      <c r="I84" s="29">
        <v>0.6</v>
      </c>
      <c r="J84" s="28">
        <v>0.0</v>
      </c>
      <c r="K84" s="29">
        <v>0.0</v>
      </c>
      <c r="L84" s="30">
        <v>0.0</v>
      </c>
      <c r="M84" s="31">
        <f t="shared" si="2"/>
        <v>1</v>
      </c>
      <c r="N84" s="32">
        <v>0.78</v>
      </c>
      <c r="O84" s="32">
        <v>0.0</v>
      </c>
      <c r="P84" s="32">
        <v>14.06</v>
      </c>
      <c r="Q84" s="32">
        <v>40.63</v>
      </c>
      <c r="R84" s="32">
        <v>44.53</v>
      </c>
      <c r="S84" s="34">
        <f t="shared" si="3"/>
        <v>100</v>
      </c>
      <c r="T84" s="35">
        <f t="shared" si="4"/>
        <v>0.78</v>
      </c>
      <c r="U84" s="35">
        <f t="shared" si="5"/>
        <v>99.22</v>
      </c>
      <c r="V84" s="34">
        <f t="shared" si="6"/>
        <v>100</v>
      </c>
      <c r="W84" s="35">
        <f t="shared" si="7"/>
        <v>0.78</v>
      </c>
      <c r="X84" s="35">
        <f t="shared" si="8"/>
        <v>14.06</v>
      </c>
      <c r="Y84" s="31">
        <f t="shared" si="9"/>
        <v>85.16</v>
      </c>
      <c r="Z84" s="36">
        <f t="shared" ref="Z84:AD84" si="91">_xlfn.RANK.EQ(N84,$N84:$R84, 1)</f>
        <v>2</v>
      </c>
      <c r="AA84" s="36">
        <f t="shared" si="91"/>
        <v>1</v>
      </c>
      <c r="AB84" s="36">
        <f t="shared" si="91"/>
        <v>3</v>
      </c>
      <c r="AC84" s="36">
        <f t="shared" si="91"/>
        <v>4</v>
      </c>
      <c r="AD84" s="36">
        <f t="shared" si="91"/>
        <v>5</v>
      </c>
      <c r="AE84" s="37"/>
    </row>
    <row r="85">
      <c r="A85" s="38" t="s">
        <v>119</v>
      </c>
      <c r="B85" s="28">
        <v>5.0</v>
      </c>
      <c r="C85" s="29">
        <v>0.3</v>
      </c>
      <c r="D85" s="28">
        <v>4.0</v>
      </c>
      <c r="E85" s="29">
        <v>0.45</v>
      </c>
      <c r="F85" s="28">
        <v>0.0</v>
      </c>
      <c r="G85" s="29">
        <v>0.0</v>
      </c>
      <c r="H85" s="28">
        <v>0.0</v>
      </c>
      <c r="I85" s="29">
        <v>0.0</v>
      </c>
      <c r="J85" s="28">
        <v>4.0</v>
      </c>
      <c r="K85" s="29">
        <v>0.15</v>
      </c>
      <c r="L85" s="30">
        <v>0.1</v>
      </c>
      <c r="M85" s="31">
        <f t="shared" si="2"/>
        <v>1</v>
      </c>
      <c r="N85" s="44">
        <v>0.0</v>
      </c>
      <c r="O85" s="44">
        <v>0.0</v>
      </c>
      <c r="P85" s="44">
        <v>4.55</v>
      </c>
      <c r="Q85" s="44">
        <v>36.36</v>
      </c>
      <c r="R85" s="44">
        <v>59.09</v>
      </c>
      <c r="S85" s="34">
        <f t="shared" si="3"/>
        <v>100</v>
      </c>
      <c r="T85" s="35">
        <f t="shared" si="4"/>
        <v>0</v>
      </c>
      <c r="U85" s="35">
        <f t="shared" si="5"/>
        <v>100</v>
      </c>
      <c r="V85" s="34">
        <f t="shared" si="6"/>
        <v>100</v>
      </c>
      <c r="W85" s="35">
        <f t="shared" si="7"/>
        <v>0</v>
      </c>
      <c r="X85" s="35">
        <f t="shared" si="8"/>
        <v>4.55</v>
      </c>
      <c r="Y85" s="31">
        <f t="shared" si="9"/>
        <v>95.45</v>
      </c>
      <c r="Z85" s="36">
        <f t="shared" ref="Z85:AD85" si="92">_xlfn.RANK.EQ(N85,$N85:$R85, 1)</f>
        <v>1</v>
      </c>
      <c r="AA85" s="36">
        <f t="shared" si="92"/>
        <v>1</v>
      </c>
      <c r="AB85" s="36">
        <f t="shared" si="92"/>
        <v>3</v>
      </c>
      <c r="AC85" s="36">
        <f t="shared" si="92"/>
        <v>4</v>
      </c>
      <c r="AD85" s="36">
        <f t="shared" si="92"/>
        <v>5</v>
      </c>
      <c r="AE85" s="37"/>
    </row>
    <row r="86">
      <c r="A86" s="38" t="s">
        <v>120</v>
      </c>
      <c r="B86" s="28">
        <v>0.0</v>
      </c>
      <c r="C86" s="29">
        <v>0.0</v>
      </c>
      <c r="D86" s="28">
        <v>3.0</v>
      </c>
      <c r="E86" s="29">
        <v>1.0</v>
      </c>
      <c r="F86" s="28">
        <v>0.0</v>
      </c>
      <c r="G86" s="29">
        <v>0.0</v>
      </c>
      <c r="H86" s="28">
        <v>0.0</v>
      </c>
      <c r="I86" s="29">
        <v>0.0</v>
      </c>
      <c r="J86" s="28">
        <v>0.0</v>
      </c>
      <c r="K86" s="29">
        <v>0.0</v>
      </c>
      <c r="L86" s="30">
        <v>0.0</v>
      </c>
      <c r="M86" s="31">
        <f t="shared" si="2"/>
        <v>1</v>
      </c>
      <c r="N86" s="32">
        <v>0.0</v>
      </c>
      <c r="O86" s="32">
        <v>7.69</v>
      </c>
      <c r="P86" s="32">
        <v>23.08</v>
      </c>
      <c r="Q86" s="32">
        <v>38.46</v>
      </c>
      <c r="R86" s="32">
        <v>30.77</v>
      </c>
      <c r="S86" s="34">
        <f t="shared" si="3"/>
        <v>100</v>
      </c>
      <c r="T86" s="35">
        <f t="shared" si="4"/>
        <v>7.69</v>
      </c>
      <c r="U86" s="35">
        <f t="shared" si="5"/>
        <v>92.31</v>
      </c>
      <c r="V86" s="34">
        <f t="shared" si="6"/>
        <v>100</v>
      </c>
      <c r="W86" s="35">
        <f t="shared" si="7"/>
        <v>7.69</v>
      </c>
      <c r="X86" s="35">
        <f t="shared" si="8"/>
        <v>23.08</v>
      </c>
      <c r="Y86" s="31">
        <f t="shared" si="9"/>
        <v>69.23</v>
      </c>
      <c r="Z86" s="36">
        <f t="shared" ref="Z86:AD86" si="93">_xlfn.RANK.EQ(N86,$N86:$R86, 1)</f>
        <v>1</v>
      </c>
      <c r="AA86" s="36">
        <f t="shared" si="93"/>
        <v>2</v>
      </c>
      <c r="AB86" s="36">
        <f t="shared" si="93"/>
        <v>3</v>
      </c>
      <c r="AC86" s="36">
        <f t="shared" si="93"/>
        <v>5</v>
      </c>
      <c r="AD86" s="36">
        <f t="shared" si="93"/>
        <v>4</v>
      </c>
      <c r="AE86" s="37"/>
    </row>
    <row r="87">
      <c r="A87" s="38" t="s">
        <v>121</v>
      </c>
      <c r="B87" s="28">
        <v>12.0</v>
      </c>
      <c r="C87" s="29">
        <v>0.2</v>
      </c>
      <c r="D87" s="28">
        <v>1.0</v>
      </c>
      <c r="E87" s="29">
        <v>0.35</v>
      </c>
      <c r="F87" s="28">
        <v>0.0</v>
      </c>
      <c r="G87" s="29">
        <v>0.0</v>
      </c>
      <c r="H87" s="28">
        <v>0.0</v>
      </c>
      <c r="I87" s="29">
        <v>0.0</v>
      </c>
      <c r="J87" s="28">
        <v>2.0</v>
      </c>
      <c r="K87" s="29">
        <v>0.4</v>
      </c>
      <c r="L87" s="30">
        <v>0.05</v>
      </c>
      <c r="M87" s="31">
        <f t="shared" si="2"/>
        <v>1</v>
      </c>
      <c r="N87" s="32">
        <v>0.0</v>
      </c>
      <c r="O87" s="32">
        <v>0.0</v>
      </c>
      <c r="P87" s="32">
        <v>0.0</v>
      </c>
      <c r="Q87" s="32">
        <v>26.47</v>
      </c>
      <c r="R87" s="32">
        <v>73.53</v>
      </c>
      <c r="S87" s="34">
        <f t="shared" si="3"/>
        <v>100</v>
      </c>
      <c r="T87" s="35">
        <f t="shared" si="4"/>
        <v>0</v>
      </c>
      <c r="U87" s="35">
        <f t="shared" si="5"/>
        <v>100</v>
      </c>
      <c r="V87" s="34">
        <f t="shared" si="6"/>
        <v>100</v>
      </c>
      <c r="W87" s="35">
        <f t="shared" si="7"/>
        <v>0</v>
      </c>
      <c r="X87" s="35">
        <f t="shared" si="8"/>
        <v>0</v>
      </c>
      <c r="Y87" s="31">
        <f t="shared" si="9"/>
        <v>100</v>
      </c>
      <c r="Z87" s="36">
        <f t="shared" ref="Z87:AD87" si="94">_xlfn.RANK.EQ(N87,$N87:$R87, 1)</f>
        <v>1</v>
      </c>
      <c r="AA87" s="36">
        <f t="shared" si="94"/>
        <v>1</v>
      </c>
      <c r="AB87" s="36">
        <f t="shared" si="94"/>
        <v>1</v>
      </c>
      <c r="AC87" s="36">
        <f t="shared" si="94"/>
        <v>4</v>
      </c>
      <c r="AD87" s="36">
        <f t="shared" si="94"/>
        <v>5</v>
      </c>
      <c r="AE87" s="37"/>
    </row>
    <row r="88">
      <c r="A88" s="40" t="s">
        <v>122</v>
      </c>
      <c r="B88" s="28">
        <v>4.0</v>
      </c>
      <c r="C88" s="29">
        <v>0.4</v>
      </c>
      <c r="D88" s="28">
        <v>1.0</v>
      </c>
      <c r="E88" s="29">
        <v>0.2</v>
      </c>
      <c r="F88" s="28">
        <v>0.0</v>
      </c>
      <c r="G88" s="29">
        <v>0.0</v>
      </c>
      <c r="H88" s="28">
        <v>2.0</v>
      </c>
      <c r="I88" s="29">
        <v>0.4</v>
      </c>
      <c r="J88" s="28">
        <v>0.0</v>
      </c>
      <c r="K88" s="29">
        <v>0.0</v>
      </c>
      <c r="L88" s="30">
        <v>0.0</v>
      </c>
      <c r="M88" s="31">
        <f t="shared" si="2"/>
        <v>1</v>
      </c>
      <c r="N88" s="32">
        <v>0.0</v>
      </c>
      <c r="O88" s="32">
        <v>0.0</v>
      </c>
      <c r="P88" s="32">
        <v>0.0</v>
      </c>
      <c r="Q88" s="32">
        <v>14.29</v>
      </c>
      <c r="R88" s="32">
        <v>85.71</v>
      </c>
      <c r="S88" s="34">
        <f t="shared" si="3"/>
        <v>100</v>
      </c>
      <c r="T88" s="35">
        <f t="shared" si="4"/>
        <v>0</v>
      </c>
      <c r="U88" s="35">
        <f t="shared" si="5"/>
        <v>100</v>
      </c>
      <c r="V88" s="34">
        <f t="shared" si="6"/>
        <v>100</v>
      </c>
      <c r="W88" s="35">
        <f t="shared" si="7"/>
        <v>0</v>
      </c>
      <c r="X88" s="35">
        <f t="shared" si="8"/>
        <v>0</v>
      </c>
      <c r="Y88" s="31">
        <f t="shared" si="9"/>
        <v>100</v>
      </c>
      <c r="Z88" s="36">
        <f t="shared" ref="Z88:AD88" si="95">_xlfn.RANK.EQ(N88,$N88:$R88, 1)</f>
        <v>1</v>
      </c>
      <c r="AA88" s="36">
        <f t="shared" si="95"/>
        <v>1</v>
      </c>
      <c r="AB88" s="36">
        <f t="shared" si="95"/>
        <v>1</v>
      </c>
      <c r="AC88" s="36">
        <f t="shared" si="95"/>
        <v>4</v>
      </c>
      <c r="AD88" s="36">
        <f t="shared" si="95"/>
        <v>5</v>
      </c>
      <c r="AE88" s="37"/>
    </row>
    <row r="89">
      <c r="A89" s="40" t="s">
        <v>123</v>
      </c>
      <c r="B89" s="28">
        <v>12.0</v>
      </c>
      <c r="C89" s="29">
        <v>0.2</v>
      </c>
      <c r="D89" s="28">
        <v>1.0</v>
      </c>
      <c r="E89" s="29">
        <v>0.3</v>
      </c>
      <c r="F89" s="28">
        <v>0.0</v>
      </c>
      <c r="G89" s="29">
        <v>0.0</v>
      </c>
      <c r="H89" s="28">
        <v>2.0</v>
      </c>
      <c r="I89" s="29">
        <v>0.5</v>
      </c>
      <c r="J89" s="28">
        <v>0.0</v>
      </c>
      <c r="K89" s="29">
        <v>0.0</v>
      </c>
      <c r="L89" s="30">
        <v>0.0</v>
      </c>
      <c r="M89" s="31">
        <f t="shared" si="2"/>
        <v>1</v>
      </c>
      <c r="N89" s="32">
        <v>0.0</v>
      </c>
      <c r="O89" s="32">
        <v>0.0</v>
      </c>
      <c r="P89" s="32">
        <v>6.67</v>
      </c>
      <c r="Q89" s="32">
        <v>33.33</v>
      </c>
      <c r="R89" s="32">
        <v>60.0</v>
      </c>
      <c r="S89" s="34">
        <f t="shared" si="3"/>
        <v>100</v>
      </c>
      <c r="T89" s="35">
        <f t="shared" si="4"/>
        <v>0</v>
      </c>
      <c r="U89" s="35">
        <f t="shared" si="5"/>
        <v>100</v>
      </c>
      <c r="V89" s="34">
        <f t="shared" si="6"/>
        <v>100</v>
      </c>
      <c r="W89" s="35">
        <f t="shared" si="7"/>
        <v>0</v>
      </c>
      <c r="X89" s="35">
        <f t="shared" si="8"/>
        <v>6.67</v>
      </c>
      <c r="Y89" s="31">
        <f t="shared" si="9"/>
        <v>93.33</v>
      </c>
      <c r="Z89" s="36">
        <f t="shared" ref="Z89:AD89" si="96">_xlfn.RANK.EQ(N89,$N89:$R89, 1)</f>
        <v>1</v>
      </c>
      <c r="AA89" s="36">
        <f t="shared" si="96"/>
        <v>1</v>
      </c>
      <c r="AB89" s="36">
        <f t="shared" si="96"/>
        <v>3</v>
      </c>
      <c r="AC89" s="36">
        <f t="shared" si="96"/>
        <v>4</v>
      </c>
      <c r="AD89" s="36">
        <f t="shared" si="96"/>
        <v>5</v>
      </c>
      <c r="AE89" s="37"/>
    </row>
    <row r="90">
      <c r="A90" s="40" t="s">
        <v>124</v>
      </c>
      <c r="B90" s="28">
        <v>12.0</v>
      </c>
      <c r="C90" s="29">
        <v>0.15</v>
      </c>
      <c r="D90" s="28">
        <v>0.0</v>
      </c>
      <c r="E90" s="29">
        <v>0.0</v>
      </c>
      <c r="F90" s="28">
        <v>1.0</v>
      </c>
      <c r="G90" s="29">
        <v>0.2</v>
      </c>
      <c r="H90" s="28">
        <v>3.0</v>
      </c>
      <c r="I90" s="29">
        <v>0.6</v>
      </c>
      <c r="J90" s="28">
        <v>21.0</v>
      </c>
      <c r="K90" s="29">
        <v>0.05</v>
      </c>
      <c r="L90" s="30">
        <v>0.0</v>
      </c>
      <c r="M90" s="31">
        <f t="shared" si="2"/>
        <v>1</v>
      </c>
      <c r="N90" s="32">
        <v>0.0</v>
      </c>
      <c r="O90" s="32">
        <v>0.0</v>
      </c>
      <c r="P90" s="32">
        <v>7.14</v>
      </c>
      <c r="Q90" s="32">
        <v>42.86</v>
      </c>
      <c r="R90" s="32">
        <v>50.0</v>
      </c>
      <c r="S90" s="34">
        <f t="shared" si="3"/>
        <v>100</v>
      </c>
      <c r="T90" s="35">
        <f t="shared" si="4"/>
        <v>0</v>
      </c>
      <c r="U90" s="35">
        <f t="shared" si="5"/>
        <v>100</v>
      </c>
      <c r="V90" s="34">
        <f t="shared" si="6"/>
        <v>100</v>
      </c>
      <c r="W90" s="35">
        <f t="shared" si="7"/>
        <v>0</v>
      </c>
      <c r="X90" s="35">
        <f t="shared" si="8"/>
        <v>7.14</v>
      </c>
      <c r="Y90" s="31">
        <f t="shared" si="9"/>
        <v>92.86</v>
      </c>
      <c r="Z90" s="36">
        <f t="shared" ref="Z90:AD90" si="97">_xlfn.RANK.EQ(N90,$N90:$R90, 1)</f>
        <v>1</v>
      </c>
      <c r="AA90" s="36">
        <f t="shared" si="97"/>
        <v>1</v>
      </c>
      <c r="AB90" s="36">
        <f t="shared" si="97"/>
        <v>3</v>
      </c>
      <c r="AC90" s="36">
        <f t="shared" si="97"/>
        <v>4</v>
      </c>
      <c r="AD90" s="36">
        <f t="shared" si="97"/>
        <v>5</v>
      </c>
      <c r="AE90" s="37"/>
    </row>
    <row r="91">
      <c r="A91" s="38" t="s">
        <v>125</v>
      </c>
      <c r="B91" s="28">
        <v>14.0</v>
      </c>
      <c r="C91" s="29">
        <v>0.2</v>
      </c>
      <c r="D91" s="28">
        <v>1.0</v>
      </c>
      <c r="E91" s="29">
        <v>0.1</v>
      </c>
      <c r="F91" s="28">
        <v>1.0</v>
      </c>
      <c r="G91" s="29">
        <v>0.3</v>
      </c>
      <c r="H91" s="28">
        <v>2.0</v>
      </c>
      <c r="I91" s="29">
        <v>0.35</v>
      </c>
      <c r="J91" s="28">
        <v>0.0</v>
      </c>
      <c r="K91" s="29">
        <v>0.0</v>
      </c>
      <c r="L91" s="30">
        <v>0.05</v>
      </c>
      <c r="M91" s="31">
        <f t="shared" si="2"/>
        <v>1</v>
      </c>
      <c r="N91" s="32">
        <v>0.0</v>
      </c>
      <c r="O91" s="32">
        <v>0.6</v>
      </c>
      <c r="P91" s="32">
        <v>7.78</v>
      </c>
      <c r="Q91" s="32">
        <v>46.11</v>
      </c>
      <c r="R91" s="32">
        <v>45.51</v>
      </c>
      <c r="S91" s="34">
        <f t="shared" si="3"/>
        <v>100</v>
      </c>
      <c r="T91" s="35">
        <f t="shared" si="4"/>
        <v>0.6</v>
      </c>
      <c r="U91" s="35">
        <f t="shared" si="5"/>
        <v>99.4</v>
      </c>
      <c r="V91" s="34">
        <f t="shared" si="6"/>
        <v>100</v>
      </c>
      <c r="W91" s="35">
        <f t="shared" si="7"/>
        <v>0.6</v>
      </c>
      <c r="X91" s="35">
        <f t="shared" si="8"/>
        <v>7.78</v>
      </c>
      <c r="Y91" s="31">
        <f t="shared" si="9"/>
        <v>91.62</v>
      </c>
      <c r="Z91" s="36">
        <f t="shared" ref="Z91:AD91" si="98">_xlfn.RANK.EQ(N91,$N91:$R91, 1)</f>
        <v>1</v>
      </c>
      <c r="AA91" s="36">
        <f t="shared" si="98"/>
        <v>2</v>
      </c>
      <c r="AB91" s="36">
        <f t="shared" si="98"/>
        <v>3</v>
      </c>
      <c r="AC91" s="36">
        <f t="shared" si="98"/>
        <v>5</v>
      </c>
      <c r="AD91" s="36">
        <f t="shared" si="98"/>
        <v>4</v>
      </c>
      <c r="AE91" s="37"/>
    </row>
    <row r="92">
      <c r="A92" s="38" t="s">
        <v>126</v>
      </c>
      <c r="B92" s="28">
        <v>5.0</v>
      </c>
      <c r="C92" s="29">
        <v>0.5</v>
      </c>
      <c r="D92" s="28">
        <v>4.0</v>
      </c>
      <c r="E92" s="29">
        <v>0.4</v>
      </c>
      <c r="F92" s="28">
        <v>0.0</v>
      </c>
      <c r="G92" s="29">
        <v>0.0</v>
      </c>
      <c r="H92" s="28">
        <v>0.0</v>
      </c>
      <c r="I92" s="29">
        <v>0.0</v>
      </c>
      <c r="J92" s="28">
        <v>0.0</v>
      </c>
      <c r="K92" s="29">
        <v>0.0</v>
      </c>
      <c r="L92" s="30">
        <v>0.1</v>
      </c>
      <c r="M92" s="31">
        <f t="shared" si="2"/>
        <v>1</v>
      </c>
      <c r="N92" s="32">
        <v>1.49</v>
      </c>
      <c r="O92" s="32">
        <v>0.0</v>
      </c>
      <c r="P92" s="32">
        <v>1.5</v>
      </c>
      <c r="Q92" s="32">
        <v>13.43</v>
      </c>
      <c r="R92" s="32">
        <v>83.58</v>
      </c>
      <c r="S92" s="34">
        <f t="shared" si="3"/>
        <v>100</v>
      </c>
      <c r="T92" s="35">
        <f t="shared" si="4"/>
        <v>1.49</v>
      </c>
      <c r="U92" s="35">
        <f t="shared" si="5"/>
        <v>98.51</v>
      </c>
      <c r="V92" s="34">
        <f t="shared" si="6"/>
        <v>100</v>
      </c>
      <c r="W92" s="35">
        <f t="shared" si="7"/>
        <v>1.49</v>
      </c>
      <c r="X92" s="35">
        <f t="shared" si="8"/>
        <v>1.5</v>
      </c>
      <c r="Y92" s="31">
        <f t="shared" si="9"/>
        <v>97.01</v>
      </c>
      <c r="Z92" s="36">
        <f t="shared" ref="Z92:AD92" si="99">_xlfn.RANK.EQ(N92,$N92:$R92, 1)</f>
        <v>2</v>
      </c>
      <c r="AA92" s="36">
        <f t="shared" si="99"/>
        <v>1</v>
      </c>
      <c r="AB92" s="36">
        <f t="shared" si="99"/>
        <v>3</v>
      </c>
      <c r="AC92" s="36">
        <f t="shared" si="99"/>
        <v>4</v>
      </c>
      <c r="AD92" s="36">
        <f t="shared" si="99"/>
        <v>5</v>
      </c>
      <c r="AE92" s="37"/>
    </row>
    <row r="93">
      <c r="A93" s="38" t="s">
        <v>127</v>
      </c>
      <c r="B93" s="28">
        <v>0.0</v>
      </c>
      <c r="C93" s="29">
        <v>0.0</v>
      </c>
      <c r="D93" s="28">
        <v>1.0</v>
      </c>
      <c r="E93" s="29">
        <v>0.5</v>
      </c>
      <c r="F93" s="28">
        <v>0.0</v>
      </c>
      <c r="G93" s="29">
        <v>0.0</v>
      </c>
      <c r="H93" s="28">
        <v>2.0</v>
      </c>
      <c r="I93" s="29">
        <v>0.4</v>
      </c>
      <c r="J93" s="28">
        <v>0.0</v>
      </c>
      <c r="K93" s="29">
        <v>0.0</v>
      </c>
      <c r="L93" s="30">
        <v>0.1</v>
      </c>
      <c r="M93" s="31">
        <f t="shared" si="2"/>
        <v>1</v>
      </c>
      <c r="N93" s="32">
        <v>0.83</v>
      </c>
      <c r="O93" s="32">
        <v>1.65</v>
      </c>
      <c r="P93" s="32">
        <v>4.13</v>
      </c>
      <c r="Q93" s="32">
        <v>16.53</v>
      </c>
      <c r="R93" s="32">
        <v>76.86</v>
      </c>
      <c r="S93" s="34">
        <f t="shared" si="3"/>
        <v>100</v>
      </c>
      <c r="T93" s="35">
        <f t="shared" si="4"/>
        <v>2.48</v>
      </c>
      <c r="U93" s="35">
        <f t="shared" si="5"/>
        <v>97.52</v>
      </c>
      <c r="V93" s="34">
        <f t="shared" si="6"/>
        <v>100</v>
      </c>
      <c r="W93" s="35">
        <f t="shared" si="7"/>
        <v>2.48</v>
      </c>
      <c r="X93" s="35">
        <f t="shared" si="8"/>
        <v>4.13</v>
      </c>
      <c r="Y93" s="31">
        <f t="shared" si="9"/>
        <v>93.39</v>
      </c>
      <c r="Z93" s="36">
        <f t="shared" ref="Z93:AD93" si="100">_xlfn.RANK.EQ(N93,$N93:$R93, 1)</f>
        <v>1</v>
      </c>
      <c r="AA93" s="36">
        <f t="shared" si="100"/>
        <v>2</v>
      </c>
      <c r="AB93" s="36">
        <f t="shared" si="100"/>
        <v>3</v>
      </c>
      <c r="AC93" s="36">
        <f t="shared" si="100"/>
        <v>4</v>
      </c>
      <c r="AD93" s="36">
        <f t="shared" si="100"/>
        <v>5</v>
      </c>
      <c r="AE93" s="37"/>
    </row>
    <row r="94">
      <c r="A94" s="40" t="s">
        <v>128</v>
      </c>
      <c r="B94" s="28">
        <v>13.0</v>
      </c>
      <c r="C94" s="29">
        <v>0.2</v>
      </c>
      <c r="D94" s="28">
        <v>3.0</v>
      </c>
      <c r="E94" s="29">
        <v>0.55</v>
      </c>
      <c r="F94" s="28">
        <v>0.0</v>
      </c>
      <c r="G94" s="29">
        <v>0.0</v>
      </c>
      <c r="H94" s="28">
        <v>3.0</v>
      </c>
      <c r="I94" s="29">
        <v>0.2</v>
      </c>
      <c r="J94" s="28">
        <v>30.0</v>
      </c>
      <c r="K94" s="29">
        <v>0.05</v>
      </c>
      <c r="L94" s="30">
        <v>0.0</v>
      </c>
      <c r="M94" s="31">
        <f t="shared" si="2"/>
        <v>1</v>
      </c>
      <c r="N94" s="32">
        <v>3.85</v>
      </c>
      <c r="O94" s="32">
        <v>3.85</v>
      </c>
      <c r="P94" s="32">
        <v>0.0</v>
      </c>
      <c r="Q94" s="32">
        <v>42.3</v>
      </c>
      <c r="R94" s="32">
        <v>50.0</v>
      </c>
      <c r="S94" s="34">
        <f t="shared" si="3"/>
        <v>100</v>
      </c>
      <c r="T94" s="35">
        <f t="shared" si="4"/>
        <v>7.7</v>
      </c>
      <c r="U94" s="35">
        <f t="shared" si="5"/>
        <v>92.3</v>
      </c>
      <c r="V94" s="34">
        <f t="shared" si="6"/>
        <v>100</v>
      </c>
      <c r="W94" s="35">
        <f t="shared" si="7"/>
        <v>7.7</v>
      </c>
      <c r="X94" s="35">
        <f t="shared" si="8"/>
        <v>0</v>
      </c>
      <c r="Y94" s="31">
        <f t="shared" si="9"/>
        <v>92.3</v>
      </c>
      <c r="Z94" s="36">
        <f t="shared" ref="Z94:AD94" si="101">_xlfn.RANK.EQ(N94,$N94:$R94, 1)</f>
        <v>2</v>
      </c>
      <c r="AA94" s="36">
        <f t="shared" si="101"/>
        <v>2</v>
      </c>
      <c r="AB94" s="36">
        <f t="shared" si="101"/>
        <v>1</v>
      </c>
      <c r="AC94" s="36">
        <f t="shared" si="101"/>
        <v>4</v>
      </c>
      <c r="AD94" s="36">
        <f t="shared" si="101"/>
        <v>5</v>
      </c>
      <c r="AE94" s="37"/>
    </row>
    <row r="95">
      <c r="A95" s="38" t="s">
        <v>129</v>
      </c>
      <c r="B95" s="28">
        <v>8.0</v>
      </c>
      <c r="C95" s="29">
        <v>0.14</v>
      </c>
      <c r="D95" s="28">
        <v>0.0</v>
      </c>
      <c r="E95" s="29">
        <v>0.0</v>
      </c>
      <c r="F95" s="28">
        <v>1.0</v>
      </c>
      <c r="G95" s="29">
        <v>0.25</v>
      </c>
      <c r="H95" s="28">
        <v>3.0</v>
      </c>
      <c r="I95" s="29">
        <v>0.45</v>
      </c>
      <c r="J95" s="28">
        <v>0.0</v>
      </c>
      <c r="K95" s="29">
        <v>0.0</v>
      </c>
      <c r="L95" s="30">
        <v>0.16</v>
      </c>
      <c r="M95" s="31">
        <f t="shared" si="2"/>
        <v>1</v>
      </c>
      <c r="N95" s="32">
        <v>6.14</v>
      </c>
      <c r="O95" s="32">
        <v>2.63</v>
      </c>
      <c r="P95" s="32">
        <v>18.42</v>
      </c>
      <c r="Q95" s="32">
        <v>21.93</v>
      </c>
      <c r="R95" s="32">
        <v>50.88</v>
      </c>
      <c r="S95" s="34">
        <f t="shared" si="3"/>
        <v>100</v>
      </c>
      <c r="T95" s="35">
        <f t="shared" si="4"/>
        <v>8.77</v>
      </c>
      <c r="U95" s="35">
        <f t="shared" si="5"/>
        <v>91.23</v>
      </c>
      <c r="V95" s="34">
        <f t="shared" si="6"/>
        <v>100</v>
      </c>
      <c r="W95" s="35">
        <f t="shared" si="7"/>
        <v>8.77</v>
      </c>
      <c r="X95" s="35">
        <f t="shared" si="8"/>
        <v>18.42</v>
      </c>
      <c r="Y95" s="31">
        <f t="shared" si="9"/>
        <v>72.81</v>
      </c>
      <c r="Z95" s="36">
        <f t="shared" ref="Z95:AD95" si="102">_xlfn.RANK.EQ(N95,$N95:$R95, 1)</f>
        <v>2</v>
      </c>
      <c r="AA95" s="36">
        <f t="shared" si="102"/>
        <v>1</v>
      </c>
      <c r="AB95" s="36">
        <f t="shared" si="102"/>
        <v>3</v>
      </c>
      <c r="AC95" s="36">
        <f t="shared" si="102"/>
        <v>4</v>
      </c>
      <c r="AD95" s="36">
        <f t="shared" si="102"/>
        <v>5</v>
      </c>
      <c r="AE95" s="37"/>
    </row>
    <row r="96">
      <c r="A96" s="38" t="s">
        <v>130</v>
      </c>
      <c r="B96" s="28">
        <v>12.0</v>
      </c>
      <c r="C96" s="29">
        <v>0.05</v>
      </c>
      <c r="D96" s="28">
        <v>0.0</v>
      </c>
      <c r="E96" s="29">
        <v>0.0</v>
      </c>
      <c r="F96" s="28">
        <v>1.0</v>
      </c>
      <c r="G96" s="29">
        <v>0.3</v>
      </c>
      <c r="H96" s="28">
        <v>3.0</v>
      </c>
      <c r="I96" s="29">
        <v>0.55</v>
      </c>
      <c r="J96" s="28">
        <v>15.0</v>
      </c>
      <c r="K96" s="29">
        <v>0.1</v>
      </c>
      <c r="L96" s="30">
        <v>0.0</v>
      </c>
      <c r="M96" s="31">
        <f t="shared" si="2"/>
        <v>1</v>
      </c>
      <c r="N96" s="32">
        <v>1.68</v>
      </c>
      <c r="O96" s="32">
        <v>1.68</v>
      </c>
      <c r="P96" s="32">
        <v>33.62</v>
      </c>
      <c r="Q96" s="32">
        <v>31.93</v>
      </c>
      <c r="R96" s="32">
        <v>31.09</v>
      </c>
      <c r="S96" s="34">
        <f t="shared" si="3"/>
        <v>100</v>
      </c>
      <c r="T96" s="35">
        <f t="shared" si="4"/>
        <v>3.36</v>
      </c>
      <c r="U96" s="35">
        <f t="shared" si="5"/>
        <v>96.64</v>
      </c>
      <c r="V96" s="34">
        <f t="shared" si="6"/>
        <v>100</v>
      </c>
      <c r="W96" s="35">
        <f t="shared" si="7"/>
        <v>3.36</v>
      </c>
      <c r="X96" s="35">
        <f t="shared" si="8"/>
        <v>33.62</v>
      </c>
      <c r="Y96" s="31">
        <f t="shared" si="9"/>
        <v>63.02</v>
      </c>
      <c r="Z96" s="36">
        <f t="shared" ref="Z96:AD96" si="103">_xlfn.RANK.EQ(N96,$N96:$R96, 1)</f>
        <v>1</v>
      </c>
      <c r="AA96" s="36">
        <f t="shared" si="103"/>
        <v>1</v>
      </c>
      <c r="AB96" s="36">
        <f t="shared" si="103"/>
        <v>5</v>
      </c>
      <c r="AC96" s="36">
        <f t="shared" si="103"/>
        <v>4</v>
      </c>
      <c r="AD96" s="36">
        <f t="shared" si="103"/>
        <v>3</v>
      </c>
      <c r="AE96" s="37"/>
    </row>
    <row r="97">
      <c r="A97" s="38" t="s">
        <v>131</v>
      </c>
      <c r="B97" s="28">
        <v>9.0</v>
      </c>
      <c r="C97" s="29">
        <v>0.27</v>
      </c>
      <c r="D97" s="28">
        <v>5.0</v>
      </c>
      <c r="E97" s="29">
        <v>0.49</v>
      </c>
      <c r="F97" s="28">
        <v>0.0</v>
      </c>
      <c r="G97" s="29">
        <v>0.0</v>
      </c>
      <c r="H97" s="28">
        <v>0.0</v>
      </c>
      <c r="I97" s="29">
        <v>0.0</v>
      </c>
      <c r="J97" s="28">
        <v>5.0</v>
      </c>
      <c r="K97" s="29">
        <v>0.15</v>
      </c>
      <c r="L97" s="30">
        <v>0.09</v>
      </c>
      <c r="M97" s="31">
        <f t="shared" si="2"/>
        <v>1</v>
      </c>
      <c r="N97" s="32">
        <v>0.0</v>
      </c>
      <c r="O97" s="32">
        <v>0.0</v>
      </c>
      <c r="P97" s="32">
        <v>9.37</v>
      </c>
      <c r="Q97" s="32">
        <v>28.13</v>
      </c>
      <c r="R97" s="32">
        <v>62.5</v>
      </c>
      <c r="S97" s="34">
        <f t="shared" si="3"/>
        <v>100</v>
      </c>
      <c r="T97" s="35">
        <f t="shared" si="4"/>
        <v>0</v>
      </c>
      <c r="U97" s="35">
        <f t="shared" si="5"/>
        <v>100</v>
      </c>
      <c r="V97" s="34">
        <f t="shared" si="6"/>
        <v>100</v>
      </c>
      <c r="W97" s="35">
        <f t="shared" si="7"/>
        <v>0</v>
      </c>
      <c r="X97" s="35">
        <f t="shared" si="8"/>
        <v>9.37</v>
      </c>
      <c r="Y97" s="31">
        <f t="shared" si="9"/>
        <v>90.63</v>
      </c>
      <c r="Z97" s="36">
        <f t="shared" ref="Z97:AD97" si="104">_xlfn.RANK.EQ(N97,$N97:$R97, 1)</f>
        <v>1</v>
      </c>
      <c r="AA97" s="36">
        <f t="shared" si="104"/>
        <v>1</v>
      </c>
      <c r="AB97" s="36">
        <f t="shared" si="104"/>
        <v>3</v>
      </c>
      <c r="AC97" s="36">
        <f t="shared" si="104"/>
        <v>4</v>
      </c>
      <c r="AD97" s="36">
        <f t="shared" si="104"/>
        <v>5</v>
      </c>
      <c r="AE97" s="37"/>
    </row>
    <row r="98">
      <c r="A98" s="38" t="s">
        <v>132</v>
      </c>
      <c r="B98" s="28">
        <v>11.0</v>
      </c>
      <c r="C98" s="29">
        <v>0.2</v>
      </c>
      <c r="D98" s="28">
        <v>0.0</v>
      </c>
      <c r="E98" s="29">
        <v>0.0</v>
      </c>
      <c r="F98" s="28">
        <v>1.0</v>
      </c>
      <c r="G98" s="29">
        <v>0.4</v>
      </c>
      <c r="H98" s="28">
        <v>2.0</v>
      </c>
      <c r="I98" s="29">
        <v>0.4</v>
      </c>
      <c r="J98" s="28">
        <v>0.0</v>
      </c>
      <c r="K98" s="29">
        <v>0.0</v>
      </c>
      <c r="L98" s="30">
        <v>0.0</v>
      </c>
      <c r="M98" s="31">
        <f t="shared" si="2"/>
        <v>1</v>
      </c>
      <c r="N98" s="32">
        <v>0.0</v>
      </c>
      <c r="O98" s="32">
        <v>1.03</v>
      </c>
      <c r="P98" s="32">
        <v>40.21</v>
      </c>
      <c r="Q98" s="32">
        <v>23.71</v>
      </c>
      <c r="R98" s="32">
        <v>35.05</v>
      </c>
      <c r="S98" s="34">
        <f t="shared" si="3"/>
        <v>100</v>
      </c>
      <c r="T98" s="35">
        <f t="shared" si="4"/>
        <v>1.03</v>
      </c>
      <c r="U98" s="35">
        <f t="shared" si="5"/>
        <v>98.97</v>
      </c>
      <c r="V98" s="34">
        <f t="shared" si="6"/>
        <v>100</v>
      </c>
      <c r="W98" s="35">
        <f t="shared" si="7"/>
        <v>1.03</v>
      </c>
      <c r="X98" s="35">
        <f t="shared" si="8"/>
        <v>40.21</v>
      </c>
      <c r="Y98" s="31">
        <f t="shared" si="9"/>
        <v>58.76</v>
      </c>
      <c r="Z98" s="36">
        <f t="shared" ref="Z98:AD98" si="105">_xlfn.RANK.EQ(N98,$N98:$R98, 1)</f>
        <v>1</v>
      </c>
      <c r="AA98" s="36">
        <f t="shared" si="105"/>
        <v>2</v>
      </c>
      <c r="AB98" s="36">
        <f t="shared" si="105"/>
        <v>5</v>
      </c>
      <c r="AC98" s="36">
        <f t="shared" si="105"/>
        <v>3</v>
      </c>
      <c r="AD98" s="36">
        <f t="shared" si="105"/>
        <v>4</v>
      </c>
      <c r="AE98" s="37"/>
    </row>
    <row r="99">
      <c r="A99" s="38" t="s">
        <v>133</v>
      </c>
      <c r="B99" s="28">
        <v>12.0</v>
      </c>
      <c r="C99" s="29">
        <v>0.15</v>
      </c>
      <c r="D99" s="28">
        <v>3.0</v>
      </c>
      <c r="E99" s="29">
        <v>0.15</v>
      </c>
      <c r="F99" s="28">
        <v>1.0</v>
      </c>
      <c r="G99" s="29">
        <v>0.25</v>
      </c>
      <c r="H99" s="28">
        <v>3.0</v>
      </c>
      <c r="I99" s="29">
        <v>0.4</v>
      </c>
      <c r="J99" s="28">
        <v>15.0</v>
      </c>
      <c r="K99" s="29">
        <v>0.05</v>
      </c>
      <c r="L99" s="30">
        <v>0.0</v>
      </c>
      <c r="M99" s="31">
        <f t="shared" si="2"/>
        <v>1</v>
      </c>
      <c r="N99" s="32">
        <v>0.86</v>
      </c>
      <c r="O99" s="32">
        <v>0.0</v>
      </c>
      <c r="P99" s="32">
        <v>4.31</v>
      </c>
      <c r="Q99" s="32">
        <v>43.97</v>
      </c>
      <c r="R99" s="32">
        <v>50.86</v>
      </c>
      <c r="S99" s="34">
        <f t="shared" si="3"/>
        <v>100</v>
      </c>
      <c r="T99" s="35">
        <f t="shared" si="4"/>
        <v>0.86</v>
      </c>
      <c r="U99" s="35">
        <f t="shared" si="5"/>
        <v>99.14</v>
      </c>
      <c r="V99" s="34">
        <f t="shared" si="6"/>
        <v>100</v>
      </c>
      <c r="W99" s="35">
        <f t="shared" si="7"/>
        <v>0.86</v>
      </c>
      <c r="X99" s="35">
        <f t="shared" si="8"/>
        <v>4.31</v>
      </c>
      <c r="Y99" s="31">
        <f t="shared" si="9"/>
        <v>94.83</v>
      </c>
      <c r="Z99" s="36">
        <f t="shared" ref="Z99:AD99" si="106">_xlfn.RANK.EQ(N99,$N99:$R99, 1)</f>
        <v>2</v>
      </c>
      <c r="AA99" s="36">
        <f t="shared" si="106"/>
        <v>1</v>
      </c>
      <c r="AB99" s="36">
        <f t="shared" si="106"/>
        <v>3</v>
      </c>
      <c r="AC99" s="36">
        <f t="shared" si="106"/>
        <v>4</v>
      </c>
      <c r="AD99" s="36">
        <f t="shared" si="106"/>
        <v>5</v>
      </c>
      <c r="AE99" s="37"/>
    </row>
    <row r="100">
      <c r="A100" s="40" t="s">
        <v>134</v>
      </c>
      <c r="B100" s="28">
        <v>13.0</v>
      </c>
      <c r="C100" s="29">
        <v>0.2</v>
      </c>
      <c r="D100" s="28">
        <v>5.0</v>
      </c>
      <c r="E100" s="29">
        <v>0.5</v>
      </c>
      <c r="F100" s="28">
        <v>0.0</v>
      </c>
      <c r="G100" s="29">
        <v>0.0</v>
      </c>
      <c r="H100" s="28">
        <v>3.0</v>
      </c>
      <c r="I100" s="29">
        <v>0.2</v>
      </c>
      <c r="J100" s="28">
        <v>30.0</v>
      </c>
      <c r="K100" s="29">
        <v>0.1</v>
      </c>
      <c r="L100" s="30">
        <v>0.0</v>
      </c>
      <c r="M100" s="31">
        <f t="shared" si="2"/>
        <v>1</v>
      </c>
      <c r="N100" s="32">
        <v>0.0</v>
      </c>
      <c r="O100" s="32">
        <v>1.85</v>
      </c>
      <c r="P100" s="32">
        <v>3.7</v>
      </c>
      <c r="Q100" s="32">
        <v>24.07</v>
      </c>
      <c r="R100" s="32">
        <v>70.38</v>
      </c>
      <c r="S100" s="34">
        <f t="shared" si="3"/>
        <v>100</v>
      </c>
      <c r="T100" s="35">
        <f t="shared" si="4"/>
        <v>1.85</v>
      </c>
      <c r="U100" s="35">
        <f t="shared" si="5"/>
        <v>98.15</v>
      </c>
      <c r="V100" s="34">
        <f t="shared" si="6"/>
        <v>100</v>
      </c>
      <c r="W100" s="35">
        <f t="shared" si="7"/>
        <v>1.85</v>
      </c>
      <c r="X100" s="35">
        <f t="shared" si="8"/>
        <v>3.7</v>
      </c>
      <c r="Y100" s="31">
        <f t="shared" si="9"/>
        <v>94.45</v>
      </c>
      <c r="Z100" s="36">
        <f t="shared" ref="Z100:AD100" si="107">_xlfn.RANK.EQ(N100,$N100:$R100, 1)</f>
        <v>1</v>
      </c>
      <c r="AA100" s="36">
        <f t="shared" si="107"/>
        <v>2</v>
      </c>
      <c r="AB100" s="36">
        <f t="shared" si="107"/>
        <v>3</v>
      </c>
      <c r="AC100" s="36">
        <f t="shared" si="107"/>
        <v>4</v>
      </c>
      <c r="AD100" s="36">
        <f t="shared" si="107"/>
        <v>5</v>
      </c>
      <c r="AE100" s="37"/>
    </row>
    <row r="101">
      <c r="A101" s="38" t="s">
        <v>135</v>
      </c>
      <c r="B101" s="28">
        <v>14.0</v>
      </c>
      <c r="C101" s="29">
        <v>0.15</v>
      </c>
      <c r="D101" s="28">
        <v>0.0</v>
      </c>
      <c r="E101" s="29">
        <v>0.0</v>
      </c>
      <c r="F101" s="28">
        <v>1.0</v>
      </c>
      <c r="G101" s="29">
        <v>0.35</v>
      </c>
      <c r="H101" s="28">
        <v>2.0</v>
      </c>
      <c r="I101" s="29">
        <v>0.5</v>
      </c>
      <c r="J101" s="28">
        <v>0.0</v>
      </c>
      <c r="K101" s="29">
        <v>0.0</v>
      </c>
      <c r="L101" s="30">
        <v>0.0</v>
      </c>
      <c r="M101" s="31">
        <f t="shared" si="2"/>
        <v>1</v>
      </c>
      <c r="N101" s="32">
        <v>1.43</v>
      </c>
      <c r="O101" s="32">
        <v>2.86</v>
      </c>
      <c r="P101" s="32">
        <v>40.0</v>
      </c>
      <c r="Q101" s="32">
        <v>28.57</v>
      </c>
      <c r="R101" s="32">
        <v>27.14</v>
      </c>
      <c r="S101" s="34">
        <f t="shared" si="3"/>
        <v>100</v>
      </c>
      <c r="T101" s="35">
        <f t="shared" si="4"/>
        <v>4.29</v>
      </c>
      <c r="U101" s="35">
        <f t="shared" si="5"/>
        <v>95.71</v>
      </c>
      <c r="V101" s="34">
        <f t="shared" si="6"/>
        <v>100</v>
      </c>
      <c r="W101" s="35">
        <f t="shared" si="7"/>
        <v>4.29</v>
      </c>
      <c r="X101" s="35">
        <f t="shared" si="8"/>
        <v>40</v>
      </c>
      <c r="Y101" s="31">
        <f t="shared" si="9"/>
        <v>55.71</v>
      </c>
      <c r="Z101" s="36">
        <f t="shared" ref="Z101:AD101" si="108">_xlfn.RANK.EQ(N101,$N101:$R101, 1)</f>
        <v>1</v>
      </c>
      <c r="AA101" s="36">
        <f t="shared" si="108"/>
        <v>2</v>
      </c>
      <c r="AB101" s="36">
        <f t="shared" si="108"/>
        <v>5</v>
      </c>
      <c r="AC101" s="36">
        <f t="shared" si="108"/>
        <v>4</v>
      </c>
      <c r="AD101" s="36">
        <f t="shared" si="108"/>
        <v>3</v>
      </c>
      <c r="AE101" s="37"/>
    </row>
    <row r="102">
      <c r="A102" s="38" t="s">
        <v>136</v>
      </c>
      <c r="B102" s="28">
        <v>12.0</v>
      </c>
      <c r="C102" s="29">
        <v>0.2</v>
      </c>
      <c r="D102" s="28">
        <v>0.0</v>
      </c>
      <c r="E102" s="29">
        <v>0.0</v>
      </c>
      <c r="F102" s="28">
        <v>1.0</v>
      </c>
      <c r="G102" s="29">
        <v>0.2</v>
      </c>
      <c r="H102" s="28">
        <v>2.0</v>
      </c>
      <c r="I102" s="29">
        <v>0.3</v>
      </c>
      <c r="J102" s="28">
        <v>12.0</v>
      </c>
      <c r="K102" s="29">
        <v>0.25</v>
      </c>
      <c r="L102" s="30">
        <v>0.05</v>
      </c>
      <c r="M102" s="31">
        <f t="shared" si="2"/>
        <v>1</v>
      </c>
      <c r="N102" s="32">
        <v>0.0</v>
      </c>
      <c r="O102" s="32">
        <v>2.63</v>
      </c>
      <c r="P102" s="32">
        <v>25.0</v>
      </c>
      <c r="Q102" s="32">
        <v>35.53</v>
      </c>
      <c r="R102" s="32">
        <v>36.84</v>
      </c>
      <c r="S102" s="34">
        <f t="shared" si="3"/>
        <v>100</v>
      </c>
      <c r="T102" s="35">
        <f t="shared" si="4"/>
        <v>2.63</v>
      </c>
      <c r="U102" s="35">
        <f t="shared" si="5"/>
        <v>97.37</v>
      </c>
      <c r="V102" s="34">
        <f t="shared" si="6"/>
        <v>100</v>
      </c>
      <c r="W102" s="35">
        <f t="shared" si="7"/>
        <v>2.63</v>
      </c>
      <c r="X102" s="35">
        <f t="shared" si="8"/>
        <v>25</v>
      </c>
      <c r="Y102" s="31">
        <f t="shared" si="9"/>
        <v>72.37</v>
      </c>
      <c r="Z102" s="36">
        <f t="shared" ref="Z102:AD102" si="109">_xlfn.RANK.EQ(N102,$N102:$R102, 1)</f>
        <v>1</v>
      </c>
      <c r="AA102" s="36">
        <f t="shared" si="109"/>
        <v>2</v>
      </c>
      <c r="AB102" s="36">
        <f t="shared" si="109"/>
        <v>3</v>
      </c>
      <c r="AC102" s="36">
        <f t="shared" si="109"/>
        <v>4</v>
      </c>
      <c r="AD102" s="36">
        <f t="shared" si="109"/>
        <v>5</v>
      </c>
      <c r="AE102" s="37"/>
    </row>
    <row r="103">
      <c r="A103" s="38" t="s">
        <v>137</v>
      </c>
      <c r="B103" s="28">
        <v>12.0</v>
      </c>
      <c r="C103" s="29">
        <v>0.2</v>
      </c>
      <c r="D103" s="28">
        <v>0.0</v>
      </c>
      <c r="E103" s="29">
        <v>0.0</v>
      </c>
      <c r="F103" s="28">
        <v>1.0</v>
      </c>
      <c r="G103" s="29">
        <v>0.2</v>
      </c>
      <c r="H103" s="28">
        <v>2.0</v>
      </c>
      <c r="I103" s="29">
        <v>0.3</v>
      </c>
      <c r="J103" s="28">
        <v>12.0</v>
      </c>
      <c r="K103" s="29">
        <v>0.25</v>
      </c>
      <c r="L103" s="30">
        <v>0.05</v>
      </c>
      <c r="M103" s="31">
        <f t="shared" si="2"/>
        <v>1</v>
      </c>
      <c r="N103" s="32">
        <v>4.11</v>
      </c>
      <c r="O103" s="32">
        <v>4.11</v>
      </c>
      <c r="P103" s="32">
        <v>24.65</v>
      </c>
      <c r="Q103" s="32">
        <v>30.14</v>
      </c>
      <c r="R103" s="32">
        <v>36.99</v>
      </c>
      <c r="S103" s="34">
        <f t="shared" si="3"/>
        <v>100</v>
      </c>
      <c r="T103" s="35">
        <f t="shared" si="4"/>
        <v>8.22</v>
      </c>
      <c r="U103" s="35">
        <f t="shared" si="5"/>
        <v>91.78</v>
      </c>
      <c r="V103" s="34">
        <f t="shared" si="6"/>
        <v>100</v>
      </c>
      <c r="W103" s="35">
        <f t="shared" si="7"/>
        <v>8.22</v>
      </c>
      <c r="X103" s="35">
        <f t="shared" si="8"/>
        <v>24.65</v>
      </c>
      <c r="Y103" s="31">
        <f t="shared" si="9"/>
        <v>67.13</v>
      </c>
      <c r="Z103" s="36">
        <f t="shared" ref="Z103:AD103" si="110">_xlfn.RANK.EQ(N103,$N103:$R103, 1)</f>
        <v>1</v>
      </c>
      <c r="AA103" s="36">
        <f t="shared" si="110"/>
        <v>1</v>
      </c>
      <c r="AB103" s="36">
        <f t="shared" si="110"/>
        <v>3</v>
      </c>
      <c r="AC103" s="36">
        <f t="shared" si="110"/>
        <v>4</v>
      </c>
      <c r="AD103" s="36">
        <f t="shared" si="110"/>
        <v>5</v>
      </c>
      <c r="AE103" s="37"/>
    </row>
    <row r="104">
      <c r="A104" s="48" t="s">
        <v>138</v>
      </c>
      <c r="B104" s="28">
        <v>13.0</v>
      </c>
      <c r="C104" s="29">
        <v>0.1</v>
      </c>
      <c r="D104" s="28">
        <v>0.0</v>
      </c>
      <c r="E104" s="29">
        <v>0.0</v>
      </c>
      <c r="F104" s="28">
        <v>1.0</v>
      </c>
      <c r="G104" s="29">
        <v>0.25</v>
      </c>
      <c r="H104" s="28">
        <v>2.0</v>
      </c>
      <c r="I104" s="29">
        <v>0.5</v>
      </c>
      <c r="J104" s="28">
        <v>11.0</v>
      </c>
      <c r="K104" s="29">
        <v>0.1</v>
      </c>
      <c r="L104" s="30">
        <v>0.05</v>
      </c>
      <c r="M104" s="31">
        <f t="shared" si="2"/>
        <v>1</v>
      </c>
      <c r="N104" s="32">
        <v>0.8</v>
      </c>
      <c r="O104" s="32">
        <v>3.4</v>
      </c>
      <c r="P104" s="32">
        <v>6.6</v>
      </c>
      <c r="Q104" s="32">
        <v>32.2</v>
      </c>
      <c r="R104" s="32">
        <v>57.0</v>
      </c>
      <c r="S104" s="34">
        <f t="shared" si="3"/>
        <v>100</v>
      </c>
      <c r="T104" s="35">
        <f t="shared" si="4"/>
        <v>4.2</v>
      </c>
      <c r="U104" s="35">
        <f t="shared" si="5"/>
        <v>95.8</v>
      </c>
      <c r="V104" s="34">
        <f t="shared" si="6"/>
        <v>100</v>
      </c>
      <c r="W104" s="35">
        <f t="shared" si="7"/>
        <v>4.2</v>
      </c>
      <c r="X104" s="35">
        <f t="shared" si="8"/>
        <v>6.6</v>
      </c>
      <c r="Y104" s="31">
        <f t="shared" si="9"/>
        <v>89.2</v>
      </c>
      <c r="Z104" s="36">
        <f t="shared" ref="Z104:AD104" si="111">_xlfn.RANK.EQ(N104,$N104:$R104, 1)</f>
        <v>1</v>
      </c>
      <c r="AA104" s="36">
        <f t="shared" si="111"/>
        <v>2</v>
      </c>
      <c r="AB104" s="36">
        <f t="shared" si="111"/>
        <v>3</v>
      </c>
      <c r="AC104" s="36">
        <f t="shared" si="111"/>
        <v>4</v>
      </c>
      <c r="AD104" s="36">
        <f t="shared" si="111"/>
        <v>5</v>
      </c>
      <c r="AE104" s="37"/>
    </row>
    <row r="105">
      <c r="A105" s="48" t="s">
        <v>139</v>
      </c>
      <c r="B105" s="28">
        <v>9.0</v>
      </c>
      <c r="C105" s="29">
        <v>0.3</v>
      </c>
      <c r="D105" s="28">
        <v>1.0</v>
      </c>
      <c r="E105" s="29">
        <v>0.15</v>
      </c>
      <c r="F105" s="28">
        <v>1.0</v>
      </c>
      <c r="G105" s="29">
        <v>0.2</v>
      </c>
      <c r="H105" s="28">
        <v>2.0</v>
      </c>
      <c r="I105" s="29">
        <v>0.35</v>
      </c>
      <c r="J105" s="28">
        <v>0.0</v>
      </c>
      <c r="K105" s="29">
        <v>0.0</v>
      </c>
      <c r="L105" s="30">
        <v>0.0</v>
      </c>
      <c r="M105" s="31">
        <f t="shared" si="2"/>
        <v>1</v>
      </c>
      <c r="N105" s="32">
        <v>2.28</v>
      </c>
      <c r="O105" s="32">
        <v>13.58</v>
      </c>
      <c r="P105" s="32">
        <v>13.58</v>
      </c>
      <c r="Q105" s="32">
        <v>29.58</v>
      </c>
      <c r="R105" s="32">
        <v>40.98</v>
      </c>
      <c r="S105" s="34">
        <f t="shared" si="3"/>
        <v>100</v>
      </c>
      <c r="T105" s="35">
        <f t="shared" si="4"/>
        <v>15.86</v>
      </c>
      <c r="U105" s="35">
        <f t="shared" si="5"/>
        <v>84.14</v>
      </c>
      <c r="V105" s="34">
        <f t="shared" si="6"/>
        <v>100</v>
      </c>
      <c r="W105" s="35">
        <f t="shared" si="7"/>
        <v>15.86</v>
      </c>
      <c r="X105" s="35">
        <f t="shared" si="8"/>
        <v>13.58</v>
      </c>
      <c r="Y105" s="31">
        <f t="shared" si="9"/>
        <v>70.56</v>
      </c>
      <c r="Z105" s="36">
        <f t="shared" ref="Z105:AD105" si="112">_xlfn.RANK.EQ(N105,$N105:$R105, 1)</f>
        <v>1</v>
      </c>
      <c r="AA105" s="36">
        <f t="shared" si="112"/>
        <v>2</v>
      </c>
      <c r="AB105" s="36">
        <f t="shared" si="112"/>
        <v>2</v>
      </c>
      <c r="AC105" s="36">
        <f t="shared" si="112"/>
        <v>4</v>
      </c>
      <c r="AD105" s="36">
        <f t="shared" si="112"/>
        <v>5</v>
      </c>
      <c r="AE105" s="37"/>
    </row>
    <row r="106">
      <c r="A106" s="48" t="s">
        <v>140</v>
      </c>
      <c r="B106" s="28">
        <v>9.0</v>
      </c>
      <c r="C106" s="29">
        <v>0.3</v>
      </c>
      <c r="D106" s="28">
        <v>1.0</v>
      </c>
      <c r="E106" s="29">
        <v>0.15</v>
      </c>
      <c r="F106" s="28">
        <v>1.0</v>
      </c>
      <c r="G106" s="29">
        <v>0.2</v>
      </c>
      <c r="H106" s="28">
        <v>2.0</v>
      </c>
      <c r="I106" s="29">
        <v>0.35</v>
      </c>
      <c r="J106" s="28">
        <v>0.0</v>
      </c>
      <c r="K106" s="29">
        <v>0.0</v>
      </c>
      <c r="L106" s="30">
        <v>0.0</v>
      </c>
      <c r="M106" s="31">
        <f t="shared" si="2"/>
        <v>1</v>
      </c>
      <c r="N106" s="32">
        <v>0.4</v>
      </c>
      <c r="O106" s="32">
        <v>10.4</v>
      </c>
      <c r="P106" s="32">
        <v>14.4</v>
      </c>
      <c r="Q106" s="32">
        <v>44.4</v>
      </c>
      <c r="R106" s="32">
        <v>30.4</v>
      </c>
      <c r="S106" s="34">
        <f t="shared" si="3"/>
        <v>100</v>
      </c>
      <c r="T106" s="35">
        <f t="shared" si="4"/>
        <v>10.8</v>
      </c>
      <c r="U106" s="35">
        <f t="shared" si="5"/>
        <v>89.2</v>
      </c>
      <c r="V106" s="34">
        <f t="shared" si="6"/>
        <v>100</v>
      </c>
      <c r="W106" s="35">
        <f t="shared" si="7"/>
        <v>10.8</v>
      </c>
      <c r="X106" s="35">
        <f t="shared" si="8"/>
        <v>14.4</v>
      </c>
      <c r="Y106" s="31">
        <f t="shared" si="9"/>
        <v>74.8</v>
      </c>
      <c r="Z106" s="36">
        <f t="shared" ref="Z106:AD106" si="113">_xlfn.RANK.EQ(N106,$N106:$R106, 1)</f>
        <v>1</v>
      </c>
      <c r="AA106" s="36">
        <f t="shared" si="113"/>
        <v>2</v>
      </c>
      <c r="AB106" s="36">
        <f t="shared" si="113"/>
        <v>3</v>
      </c>
      <c r="AC106" s="36">
        <f t="shared" si="113"/>
        <v>5</v>
      </c>
      <c r="AD106" s="36">
        <f t="shared" si="113"/>
        <v>4</v>
      </c>
      <c r="AE106" s="37"/>
    </row>
    <row r="107">
      <c r="A107" s="48" t="s">
        <v>141</v>
      </c>
      <c r="B107" s="28">
        <v>9.0</v>
      </c>
      <c r="C107" s="29">
        <v>0.3</v>
      </c>
      <c r="D107" s="28">
        <v>1.0</v>
      </c>
      <c r="E107" s="29">
        <v>0.15</v>
      </c>
      <c r="F107" s="28">
        <v>1.0</v>
      </c>
      <c r="G107" s="29">
        <v>0.2</v>
      </c>
      <c r="H107" s="28">
        <v>2.0</v>
      </c>
      <c r="I107" s="29">
        <v>0.35</v>
      </c>
      <c r="J107" s="28">
        <v>0.0</v>
      </c>
      <c r="K107" s="29">
        <v>0.0</v>
      </c>
      <c r="L107" s="30">
        <v>0.0</v>
      </c>
      <c r="M107" s="31">
        <f t="shared" si="2"/>
        <v>1</v>
      </c>
      <c r="N107" s="32">
        <v>0.02</v>
      </c>
      <c r="O107" s="32">
        <v>6.92</v>
      </c>
      <c r="P107" s="32">
        <v>13.82</v>
      </c>
      <c r="Q107" s="32">
        <v>37.92</v>
      </c>
      <c r="R107" s="32">
        <v>41.32</v>
      </c>
      <c r="S107" s="34">
        <f t="shared" si="3"/>
        <v>100</v>
      </c>
      <c r="T107" s="35">
        <f t="shared" si="4"/>
        <v>6.94</v>
      </c>
      <c r="U107" s="35">
        <f t="shared" si="5"/>
        <v>93.06</v>
      </c>
      <c r="V107" s="34">
        <f t="shared" si="6"/>
        <v>100</v>
      </c>
      <c r="W107" s="35">
        <f t="shared" si="7"/>
        <v>6.94</v>
      </c>
      <c r="X107" s="35">
        <f t="shared" si="8"/>
        <v>13.82</v>
      </c>
      <c r="Y107" s="31">
        <f t="shared" si="9"/>
        <v>79.24</v>
      </c>
      <c r="Z107" s="36">
        <f t="shared" ref="Z107:AD107" si="114">_xlfn.RANK.EQ(N107,$N107:$R107, 1)</f>
        <v>1</v>
      </c>
      <c r="AA107" s="36">
        <f t="shared" si="114"/>
        <v>2</v>
      </c>
      <c r="AB107" s="36">
        <f t="shared" si="114"/>
        <v>3</v>
      </c>
      <c r="AC107" s="36">
        <f t="shared" si="114"/>
        <v>4</v>
      </c>
      <c r="AD107" s="36">
        <f t="shared" si="114"/>
        <v>5</v>
      </c>
      <c r="AE107" s="37"/>
    </row>
    <row r="108">
      <c r="A108" s="49" t="s">
        <v>142</v>
      </c>
      <c r="B108" s="50" t="s">
        <v>142</v>
      </c>
      <c r="C108" s="51" t="s">
        <v>142</v>
      </c>
      <c r="D108" s="51" t="s">
        <v>142</v>
      </c>
      <c r="E108" s="51" t="s">
        <v>142</v>
      </c>
      <c r="F108" s="51" t="s">
        <v>142</v>
      </c>
      <c r="G108" s="51" t="s">
        <v>142</v>
      </c>
      <c r="H108" s="51" t="s">
        <v>142</v>
      </c>
      <c r="I108" s="51" t="s">
        <v>142</v>
      </c>
      <c r="J108" s="51" t="s">
        <v>142</v>
      </c>
      <c r="K108" s="51" t="s">
        <v>142</v>
      </c>
      <c r="L108" s="52" t="s">
        <v>142</v>
      </c>
      <c r="M108" s="53" t="s">
        <v>142</v>
      </c>
      <c r="N108" s="54" t="s">
        <v>142</v>
      </c>
      <c r="O108" s="54" t="s">
        <v>142</v>
      </c>
      <c r="P108" s="54" t="s">
        <v>142</v>
      </c>
      <c r="Q108" s="54" t="s">
        <v>142</v>
      </c>
      <c r="R108" s="54" t="s">
        <v>142</v>
      </c>
      <c r="S108" s="55" t="s">
        <v>142</v>
      </c>
      <c r="T108" s="50" t="s">
        <v>142</v>
      </c>
      <c r="U108" s="50" t="s">
        <v>142</v>
      </c>
      <c r="V108" s="56" t="s">
        <v>142</v>
      </c>
      <c r="W108" s="28" t="s">
        <v>142</v>
      </c>
      <c r="X108" s="35" t="str">
        <f t="shared" si="8"/>
        <v>END</v>
      </c>
      <c r="Y108" s="57" t="s">
        <v>142</v>
      </c>
      <c r="Z108" s="35" t="str">
        <f t="shared" ref="Z108:AD108" si="115">R108</f>
        <v>END</v>
      </c>
      <c r="AA108" s="35" t="str">
        <f t="shared" si="115"/>
        <v>END</v>
      </c>
      <c r="AB108" s="36" t="str">
        <f t="shared" si="115"/>
        <v>END</v>
      </c>
      <c r="AC108" s="36" t="str">
        <f t="shared" si="115"/>
        <v>END</v>
      </c>
      <c r="AD108" s="36" t="str">
        <f t="shared" si="115"/>
        <v>END</v>
      </c>
      <c r="AE108" s="37"/>
    </row>
    <row r="109">
      <c r="A109" s="58" t="s">
        <v>143</v>
      </c>
      <c r="B109" s="59"/>
      <c r="C109" s="60"/>
      <c r="D109" s="59"/>
      <c r="E109" s="60"/>
      <c r="F109" s="59"/>
      <c r="G109" s="60"/>
      <c r="H109" s="59"/>
      <c r="I109" s="60"/>
      <c r="J109" s="59"/>
      <c r="K109" s="60"/>
      <c r="L109" s="60"/>
      <c r="M109" s="59"/>
      <c r="N109" s="61"/>
      <c r="O109" s="61"/>
      <c r="P109" s="61"/>
      <c r="Q109" s="61"/>
      <c r="R109" s="61"/>
      <c r="S109" s="59"/>
      <c r="T109" s="59"/>
      <c r="U109" s="59"/>
      <c r="V109" s="59"/>
      <c r="W109" s="59"/>
      <c r="X109" s="59"/>
    </row>
    <row r="110">
      <c r="A110" s="62" t="s">
        <v>144</v>
      </c>
      <c r="B110" s="59"/>
      <c r="C110" s="60"/>
      <c r="D110" s="59"/>
      <c r="E110" s="60"/>
      <c r="F110" s="59"/>
      <c r="G110" s="60"/>
      <c r="H110" s="59"/>
      <c r="I110" s="60"/>
      <c r="J110" s="59"/>
      <c r="K110" s="60"/>
      <c r="L110" s="60"/>
      <c r="M110" s="59"/>
      <c r="N110" s="61"/>
      <c r="O110" s="61"/>
      <c r="P110" s="61"/>
      <c r="Q110" s="61"/>
      <c r="R110" s="61"/>
      <c r="S110" s="59"/>
      <c r="T110" s="59"/>
      <c r="U110" s="59"/>
      <c r="V110" s="59"/>
      <c r="W110" s="59"/>
      <c r="X110" s="59"/>
    </row>
    <row r="111">
      <c r="A111" s="62" t="s">
        <v>145</v>
      </c>
      <c r="B111" s="59"/>
      <c r="C111" s="60"/>
      <c r="D111" s="59"/>
      <c r="E111" s="60"/>
      <c r="F111" s="59"/>
      <c r="G111" s="60"/>
      <c r="H111" s="59"/>
      <c r="I111" s="60"/>
      <c r="J111" s="59"/>
      <c r="K111" s="60"/>
      <c r="L111" s="60"/>
      <c r="M111" s="59"/>
      <c r="N111" s="61"/>
      <c r="O111" s="61"/>
      <c r="P111" s="61"/>
      <c r="Q111" s="61"/>
      <c r="R111" s="61"/>
      <c r="S111" s="59"/>
      <c r="T111" s="59"/>
      <c r="U111" s="59"/>
      <c r="V111" s="59"/>
      <c r="W111" s="59"/>
      <c r="X111" s="59"/>
    </row>
    <row r="112">
      <c r="A112" s="59"/>
      <c r="B112" s="59"/>
      <c r="C112" s="60"/>
      <c r="D112" s="59"/>
      <c r="E112" s="60"/>
      <c r="F112" s="59"/>
      <c r="G112" s="60"/>
      <c r="H112" s="59"/>
      <c r="I112" s="60"/>
      <c r="J112" s="59"/>
      <c r="K112" s="60"/>
      <c r="L112" s="60"/>
      <c r="M112" s="59"/>
      <c r="N112" s="61"/>
      <c r="O112" s="61"/>
      <c r="P112" s="61"/>
      <c r="Q112" s="61"/>
      <c r="R112" s="61"/>
      <c r="S112" s="59"/>
      <c r="T112" s="59"/>
      <c r="U112" s="59"/>
      <c r="V112" s="59"/>
      <c r="W112" s="59"/>
      <c r="X112" s="59"/>
    </row>
    <row r="113">
      <c r="A113" s="58" t="s">
        <v>146</v>
      </c>
      <c r="B113" s="59"/>
      <c r="C113" s="60"/>
      <c r="D113" s="59"/>
      <c r="E113" s="60"/>
      <c r="F113" s="59"/>
      <c r="G113" s="60"/>
      <c r="H113" s="59"/>
      <c r="I113" s="60"/>
      <c r="J113" s="59"/>
      <c r="K113" s="60"/>
      <c r="L113" s="60"/>
      <c r="M113" s="59"/>
      <c r="N113" s="61"/>
      <c r="O113" s="61"/>
      <c r="P113" s="61"/>
      <c r="Q113" s="61"/>
      <c r="R113" s="61"/>
      <c r="S113" s="59"/>
      <c r="T113" s="59"/>
      <c r="U113" s="59"/>
      <c r="V113" s="59"/>
      <c r="W113" s="59"/>
      <c r="X113" s="59"/>
    </row>
    <row r="114">
      <c r="A114" s="63" t="s">
        <v>147</v>
      </c>
      <c r="B114" s="59"/>
      <c r="C114" s="60"/>
      <c r="D114" s="59"/>
      <c r="E114" s="60"/>
      <c r="F114" s="59"/>
      <c r="G114" s="60"/>
      <c r="H114" s="59"/>
      <c r="I114" s="60"/>
      <c r="J114" s="59"/>
      <c r="K114" s="60"/>
      <c r="L114" s="60"/>
      <c r="M114" s="59"/>
      <c r="N114" s="61"/>
      <c r="O114" s="61"/>
      <c r="P114" s="61"/>
      <c r="Q114" s="61"/>
      <c r="R114" s="61"/>
      <c r="S114" s="59"/>
      <c r="T114" s="59"/>
      <c r="U114" s="59"/>
      <c r="V114" s="59"/>
      <c r="W114" s="59"/>
      <c r="X114" s="59"/>
    </row>
    <row r="115">
      <c r="B115" s="59"/>
      <c r="C115" s="60"/>
      <c r="D115" s="59"/>
      <c r="E115" s="60"/>
      <c r="F115" s="59"/>
      <c r="G115" s="60"/>
      <c r="H115" s="59"/>
      <c r="I115" s="60"/>
      <c r="J115" s="59"/>
      <c r="K115" s="60"/>
      <c r="L115" s="60"/>
      <c r="M115" s="59"/>
      <c r="N115" s="61"/>
      <c r="O115" s="61"/>
      <c r="P115" s="61"/>
      <c r="Q115" s="61"/>
      <c r="R115" s="61"/>
      <c r="S115" s="59"/>
      <c r="T115" s="59"/>
      <c r="U115" s="59"/>
      <c r="V115" s="59"/>
      <c r="W115" s="59"/>
      <c r="X115" s="59"/>
    </row>
    <row r="116">
      <c r="B116" s="59"/>
      <c r="C116" s="60"/>
      <c r="D116" s="59"/>
      <c r="E116" s="60"/>
      <c r="F116" s="59"/>
      <c r="G116" s="60"/>
      <c r="H116" s="59"/>
      <c r="I116" s="60"/>
      <c r="J116" s="59"/>
      <c r="K116" s="60"/>
      <c r="L116" s="60"/>
      <c r="M116" s="59"/>
      <c r="N116" s="61"/>
      <c r="O116" s="61"/>
      <c r="P116" s="61"/>
      <c r="Q116" s="61"/>
      <c r="R116" s="61"/>
      <c r="S116" s="59"/>
      <c r="T116" s="59"/>
      <c r="U116" s="59"/>
      <c r="V116" s="59"/>
      <c r="W116" s="59"/>
      <c r="X116" s="59"/>
    </row>
    <row r="117">
      <c r="A117" s="59"/>
      <c r="B117" s="59"/>
      <c r="C117" s="60"/>
      <c r="D117" s="59"/>
      <c r="E117" s="60"/>
      <c r="F117" s="59"/>
      <c r="G117" s="60"/>
      <c r="H117" s="59"/>
      <c r="I117" s="60"/>
      <c r="J117" s="59"/>
      <c r="K117" s="60"/>
      <c r="L117" s="60"/>
      <c r="M117" s="59"/>
      <c r="N117" s="61"/>
      <c r="O117" s="61"/>
      <c r="P117" s="61"/>
      <c r="Q117" s="61"/>
      <c r="R117" s="61"/>
      <c r="S117" s="59"/>
      <c r="T117" s="59"/>
      <c r="U117" s="59"/>
      <c r="V117" s="59"/>
      <c r="W117" s="59"/>
      <c r="X117" s="59"/>
    </row>
    <row r="118">
      <c r="A118" s="59"/>
      <c r="B118" s="59"/>
      <c r="C118" s="60"/>
      <c r="D118" s="59"/>
      <c r="E118" s="60"/>
      <c r="F118" s="59"/>
      <c r="G118" s="60"/>
      <c r="H118" s="59"/>
      <c r="I118" s="60"/>
      <c r="J118" s="59"/>
      <c r="K118" s="60"/>
      <c r="L118" s="60"/>
      <c r="M118" s="59"/>
      <c r="N118" s="61"/>
      <c r="O118" s="61"/>
      <c r="P118" s="61"/>
      <c r="Q118" s="61"/>
      <c r="R118" s="61"/>
      <c r="S118" s="59"/>
      <c r="T118" s="59"/>
      <c r="U118" s="59"/>
      <c r="V118" s="59"/>
      <c r="W118" s="59"/>
      <c r="X118" s="59"/>
    </row>
    <row r="119">
      <c r="C119" s="35"/>
      <c r="E119" s="35"/>
      <c r="G119" s="35"/>
      <c r="I119" s="35"/>
      <c r="K119" s="35"/>
      <c r="L119" s="35"/>
      <c r="N119" s="41"/>
      <c r="O119" s="41"/>
      <c r="P119" s="41"/>
      <c r="Q119" s="41"/>
      <c r="R119" s="41"/>
    </row>
    <row r="120">
      <c r="C120" s="35"/>
      <c r="E120" s="35"/>
      <c r="G120" s="35"/>
      <c r="I120" s="35"/>
      <c r="K120" s="35"/>
      <c r="L120" s="35"/>
      <c r="N120" s="41"/>
      <c r="O120" s="41"/>
      <c r="P120" s="41"/>
      <c r="Q120" s="41"/>
      <c r="R120" s="41"/>
    </row>
    <row r="121">
      <c r="C121" s="35"/>
      <c r="E121" s="35"/>
      <c r="G121" s="35"/>
      <c r="I121" s="35"/>
      <c r="K121" s="35"/>
      <c r="L121" s="35"/>
      <c r="N121" s="41"/>
      <c r="O121" s="41"/>
      <c r="P121" s="41"/>
      <c r="Q121" s="41"/>
      <c r="R121" s="41"/>
    </row>
    <row r="122">
      <c r="C122" s="35"/>
      <c r="E122" s="35"/>
      <c r="G122" s="35"/>
      <c r="I122" s="35"/>
      <c r="K122" s="35"/>
      <c r="L122" s="35"/>
      <c r="N122" s="41"/>
      <c r="O122" s="41"/>
      <c r="P122" s="41"/>
      <c r="Q122" s="41"/>
      <c r="R122" s="41"/>
    </row>
    <row r="123">
      <c r="C123" s="35"/>
      <c r="E123" s="35"/>
      <c r="G123" s="35"/>
      <c r="I123" s="35"/>
      <c r="K123" s="35"/>
      <c r="L123" s="35"/>
      <c r="N123" s="41"/>
      <c r="O123" s="41"/>
      <c r="P123" s="41"/>
      <c r="Q123" s="41"/>
      <c r="R123" s="41"/>
    </row>
    <row r="124">
      <c r="C124" s="35"/>
      <c r="E124" s="35"/>
      <c r="G124" s="35"/>
      <c r="I124" s="35"/>
      <c r="K124" s="35"/>
      <c r="L124" s="35"/>
      <c r="N124" s="41"/>
      <c r="O124" s="41"/>
      <c r="P124" s="41"/>
      <c r="Q124" s="41"/>
      <c r="R124" s="41"/>
    </row>
    <row r="125">
      <c r="C125" s="35"/>
      <c r="E125" s="35"/>
      <c r="G125" s="35"/>
      <c r="I125" s="35"/>
      <c r="K125" s="35"/>
      <c r="L125" s="35"/>
      <c r="N125" s="41"/>
      <c r="O125" s="41"/>
      <c r="P125" s="41"/>
      <c r="Q125" s="41"/>
      <c r="R125" s="41"/>
    </row>
    <row r="126">
      <c r="C126" s="35"/>
      <c r="E126" s="35"/>
      <c r="G126" s="35"/>
      <c r="I126" s="35"/>
      <c r="K126" s="35"/>
      <c r="L126" s="35"/>
      <c r="N126" s="41"/>
      <c r="O126" s="41"/>
      <c r="P126" s="41"/>
      <c r="Q126" s="41"/>
      <c r="R126" s="41"/>
    </row>
    <row r="127">
      <c r="C127" s="35"/>
      <c r="E127" s="35"/>
      <c r="G127" s="35"/>
      <c r="I127" s="35"/>
      <c r="K127" s="35"/>
      <c r="L127" s="35"/>
      <c r="N127" s="41"/>
      <c r="O127" s="41"/>
      <c r="P127" s="41"/>
      <c r="Q127" s="41"/>
      <c r="R127" s="41"/>
    </row>
    <row r="128">
      <c r="C128" s="35"/>
      <c r="E128" s="35"/>
      <c r="G128" s="35"/>
      <c r="I128" s="35"/>
      <c r="K128" s="35"/>
      <c r="L128" s="35"/>
      <c r="N128" s="41"/>
      <c r="O128" s="41"/>
      <c r="P128" s="41"/>
      <c r="Q128" s="41"/>
      <c r="R128" s="41"/>
    </row>
    <row r="129">
      <c r="C129" s="35"/>
      <c r="E129" s="35"/>
      <c r="G129" s="35"/>
      <c r="I129" s="35"/>
      <c r="K129" s="35"/>
      <c r="L129" s="35"/>
      <c r="N129" s="41"/>
      <c r="O129" s="41"/>
      <c r="P129" s="41"/>
      <c r="Q129" s="41"/>
      <c r="R129" s="41"/>
    </row>
    <row r="130">
      <c r="C130" s="35"/>
      <c r="E130" s="35"/>
      <c r="G130" s="35"/>
      <c r="I130" s="35"/>
      <c r="K130" s="35"/>
      <c r="L130" s="35"/>
      <c r="N130" s="41"/>
      <c r="O130" s="41"/>
      <c r="P130" s="41"/>
      <c r="Q130" s="41"/>
      <c r="R130" s="41"/>
    </row>
    <row r="131">
      <c r="C131" s="35"/>
      <c r="E131" s="35"/>
      <c r="G131" s="35"/>
      <c r="I131" s="35"/>
      <c r="K131" s="35"/>
      <c r="L131" s="35"/>
      <c r="N131" s="41"/>
      <c r="O131" s="41"/>
      <c r="P131" s="41"/>
      <c r="Q131" s="41"/>
      <c r="R131" s="41"/>
    </row>
    <row r="132">
      <c r="C132" s="35"/>
      <c r="E132" s="35"/>
      <c r="G132" s="35"/>
      <c r="I132" s="35"/>
      <c r="K132" s="35"/>
      <c r="L132" s="35"/>
      <c r="N132" s="41"/>
      <c r="O132" s="41"/>
      <c r="P132" s="41"/>
      <c r="Q132" s="41"/>
      <c r="R132" s="41"/>
    </row>
    <row r="133">
      <c r="C133" s="35"/>
      <c r="E133" s="35"/>
      <c r="G133" s="35"/>
      <c r="I133" s="35"/>
      <c r="K133" s="35"/>
      <c r="L133" s="35"/>
      <c r="N133" s="41"/>
      <c r="O133" s="41"/>
      <c r="P133" s="41"/>
      <c r="Q133" s="41"/>
      <c r="R133" s="41"/>
    </row>
    <row r="134">
      <c r="C134" s="35"/>
      <c r="E134" s="35"/>
      <c r="G134" s="35"/>
      <c r="I134" s="35"/>
      <c r="K134" s="35"/>
      <c r="L134" s="35"/>
      <c r="N134" s="41"/>
      <c r="O134" s="41"/>
      <c r="P134" s="41"/>
      <c r="Q134" s="41"/>
      <c r="R134" s="41"/>
    </row>
    <row r="135">
      <c r="C135" s="35"/>
      <c r="E135" s="35"/>
      <c r="G135" s="35"/>
      <c r="I135" s="35"/>
      <c r="K135" s="35"/>
      <c r="L135" s="35"/>
      <c r="N135" s="41"/>
      <c r="O135" s="41"/>
      <c r="P135" s="41"/>
      <c r="Q135" s="41"/>
      <c r="R135" s="41"/>
    </row>
    <row r="136">
      <c r="C136" s="35"/>
      <c r="E136" s="35"/>
      <c r="G136" s="35"/>
      <c r="I136" s="35"/>
      <c r="K136" s="35"/>
      <c r="L136" s="35"/>
      <c r="N136" s="41"/>
      <c r="O136" s="41"/>
      <c r="P136" s="41"/>
      <c r="Q136" s="41"/>
      <c r="R136" s="41"/>
    </row>
    <row r="137">
      <c r="C137" s="35"/>
      <c r="E137" s="35"/>
      <c r="G137" s="35"/>
      <c r="I137" s="35"/>
      <c r="K137" s="35"/>
      <c r="L137" s="35"/>
      <c r="N137" s="41"/>
      <c r="O137" s="41"/>
      <c r="P137" s="41"/>
      <c r="Q137" s="41"/>
      <c r="R137" s="41"/>
    </row>
    <row r="138">
      <c r="C138" s="35"/>
      <c r="E138" s="35"/>
      <c r="G138" s="35"/>
      <c r="I138" s="35"/>
      <c r="K138" s="35"/>
      <c r="L138" s="35"/>
      <c r="N138" s="41"/>
      <c r="O138" s="41"/>
      <c r="P138" s="41"/>
      <c r="Q138" s="41"/>
      <c r="R138" s="41"/>
    </row>
    <row r="139">
      <c r="C139" s="35"/>
      <c r="E139" s="35"/>
      <c r="G139" s="35"/>
      <c r="I139" s="35"/>
      <c r="K139" s="35"/>
      <c r="L139" s="35"/>
      <c r="N139" s="41"/>
      <c r="O139" s="41"/>
      <c r="P139" s="41"/>
      <c r="Q139" s="41"/>
      <c r="R139" s="41"/>
    </row>
    <row r="140">
      <c r="C140" s="35"/>
      <c r="E140" s="35"/>
      <c r="G140" s="35"/>
      <c r="I140" s="35"/>
      <c r="K140" s="35"/>
      <c r="L140" s="35"/>
      <c r="N140" s="41"/>
      <c r="O140" s="41"/>
      <c r="P140" s="41"/>
      <c r="Q140" s="41"/>
      <c r="R140" s="41"/>
    </row>
    <row r="141">
      <c r="C141" s="35"/>
      <c r="E141" s="35"/>
      <c r="G141" s="35"/>
      <c r="I141" s="35"/>
      <c r="K141" s="35"/>
      <c r="L141" s="35"/>
      <c r="N141" s="41"/>
      <c r="O141" s="41"/>
      <c r="P141" s="41"/>
      <c r="Q141" s="41"/>
      <c r="R141" s="41"/>
    </row>
    <row r="142">
      <c r="C142" s="35"/>
      <c r="E142" s="35"/>
      <c r="G142" s="35"/>
      <c r="I142" s="35"/>
      <c r="K142" s="35"/>
      <c r="L142" s="35"/>
      <c r="N142" s="41"/>
      <c r="O142" s="41"/>
      <c r="P142" s="41"/>
      <c r="Q142" s="41"/>
      <c r="R142" s="41"/>
    </row>
    <row r="143">
      <c r="C143" s="35"/>
      <c r="E143" s="35"/>
      <c r="G143" s="35"/>
      <c r="I143" s="35"/>
      <c r="K143" s="35"/>
      <c r="L143" s="35"/>
      <c r="N143" s="41"/>
      <c r="O143" s="41"/>
      <c r="P143" s="41"/>
      <c r="Q143" s="41"/>
      <c r="R143" s="41"/>
    </row>
    <row r="144">
      <c r="C144" s="35"/>
      <c r="E144" s="35"/>
      <c r="G144" s="35"/>
      <c r="I144" s="35"/>
      <c r="K144" s="35"/>
      <c r="L144" s="35"/>
      <c r="N144" s="41"/>
      <c r="O144" s="41"/>
      <c r="P144" s="41"/>
      <c r="Q144" s="41"/>
      <c r="R144" s="41"/>
    </row>
    <row r="145">
      <c r="C145" s="35"/>
      <c r="E145" s="35"/>
      <c r="G145" s="35"/>
      <c r="I145" s="35"/>
      <c r="K145" s="35"/>
      <c r="L145" s="35"/>
      <c r="N145" s="41"/>
      <c r="O145" s="41"/>
      <c r="P145" s="41"/>
      <c r="Q145" s="41"/>
      <c r="R145" s="41"/>
    </row>
    <row r="146">
      <c r="C146" s="35"/>
      <c r="E146" s="35"/>
      <c r="G146" s="35"/>
      <c r="I146" s="35"/>
      <c r="K146" s="35"/>
      <c r="L146" s="35"/>
      <c r="N146" s="41"/>
      <c r="O146" s="41"/>
      <c r="P146" s="41"/>
      <c r="Q146" s="41"/>
      <c r="R146" s="41"/>
    </row>
    <row r="147">
      <c r="C147" s="35"/>
      <c r="E147" s="35"/>
      <c r="G147" s="35"/>
      <c r="I147" s="35"/>
      <c r="K147" s="35"/>
      <c r="L147" s="35"/>
      <c r="N147" s="41"/>
      <c r="O147" s="41"/>
      <c r="P147" s="41"/>
      <c r="Q147" s="41"/>
      <c r="R147" s="41"/>
    </row>
    <row r="148">
      <c r="C148" s="35"/>
      <c r="E148" s="35"/>
      <c r="G148" s="35"/>
      <c r="I148" s="35"/>
      <c r="K148" s="35"/>
      <c r="L148" s="35"/>
      <c r="N148" s="41"/>
      <c r="O148" s="41"/>
      <c r="P148" s="41"/>
      <c r="Q148" s="41"/>
      <c r="R148" s="41"/>
    </row>
    <row r="149">
      <c r="C149" s="35"/>
      <c r="E149" s="35"/>
      <c r="G149" s="35"/>
      <c r="I149" s="35"/>
      <c r="K149" s="35"/>
      <c r="L149" s="35"/>
      <c r="N149" s="41"/>
      <c r="O149" s="41"/>
      <c r="P149" s="41"/>
      <c r="Q149" s="41"/>
      <c r="R149" s="41"/>
    </row>
    <row r="150">
      <c r="C150" s="35"/>
      <c r="E150" s="35"/>
      <c r="G150" s="35"/>
      <c r="I150" s="35"/>
      <c r="K150" s="35"/>
      <c r="L150" s="35"/>
      <c r="N150" s="41"/>
      <c r="O150" s="41"/>
      <c r="P150" s="41"/>
      <c r="Q150" s="41"/>
      <c r="R150" s="41"/>
    </row>
    <row r="151">
      <c r="C151" s="35"/>
      <c r="E151" s="35"/>
      <c r="G151" s="35"/>
      <c r="I151" s="35"/>
      <c r="K151" s="35"/>
      <c r="L151" s="35"/>
      <c r="N151" s="41"/>
      <c r="O151" s="41"/>
      <c r="P151" s="41"/>
      <c r="Q151" s="41"/>
      <c r="R151" s="41"/>
    </row>
    <row r="152">
      <c r="C152" s="35"/>
      <c r="E152" s="35"/>
      <c r="G152" s="35"/>
      <c r="I152" s="35"/>
      <c r="K152" s="35"/>
      <c r="L152" s="35"/>
      <c r="N152" s="41"/>
      <c r="O152" s="41"/>
      <c r="P152" s="41"/>
      <c r="Q152" s="41"/>
      <c r="R152" s="41"/>
    </row>
    <row r="153">
      <c r="C153" s="35"/>
      <c r="E153" s="35"/>
      <c r="G153" s="35"/>
      <c r="I153" s="35"/>
      <c r="K153" s="35"/>
      <c r="L153" s="35"/>
      <c r="N153" s="41"/>
      <c r="O153" s="41"/>
      <c r="P153" s="41"/>
      <c r="Q153" s="41"/>
      <c r="R153" s="41"/>
    </row>
    <row r="154">
      <c r="C154" s="35"/>
      <c r="E154" s="35"/>
      <c r="G154" s="35"/>
      <c r="I154" s="35"/>
      <c r="K154" s="35"/>
      <c r="L154" s="35"/>
      <c r="N154" s="41"/>
      <c r="O154" s="41"/>
      <c r="P154" s="41"/>
      <c r="Q154" s="41"/>
      <c r="R154" s="41"/>
    </row>
    <row r="155">
      <c r="C155" s="35"/>
      <c r="E155" s="35"/>
      <c r="G155" s="35"/>
      <c r="I155" s="35"/>
      <c r="K155" s="35"/>
      <c r="L155" s="35"/>
      <c r="N155" s="41"/>
      <c r="O155" s="41"/>
      <c r="P155" s="41"/>
      <c r="Q155" s="41"/>
      <c r="R155" s="41"/>
    </row>
    <row r="156">
      <c r="C156" s="35"/>
      <c r="E156" s="35"/>
      <c r="G156" s="35"/>
      <c r="I156" s="35"/>
      <c r="K156" s="35"/>
      <c r="L156" s="35"/>
      <c r="N156" s="41"/>
      <c r="O156" s="41"/>
      <c r="P156" s="41"/>
      <c r="Q156" s="41"/>
      <c r="R156" s="41"/>
    </row>
    <row r="157">
      <c r="C157" s="35"/>
      <c r="E157" s="35"/>
      <c r="G157" s="35"/>
      <c r="I157" s="35"/>
      <c r="K157" s="35"/>
      <c r="L157" s="35"/>
      <c r="N157" s="41"/>
      <c r="O157" s="41"/>
      <c r="P157" s="41"/>
      <c r="Q157" s="41"/>
      <c r="R157" s="41"/>
    </row>
    <row r="158">
      <c r="C158" s="35"/>
      <c r="E158" s="35"/>
      <c r="G158" s="35"/>
      <c r="I158" s="35"/>
      <c r="K158" s="35"/>
      <c r="L158" s="35"/>
      <c r="N158" s="41"/>
      <c r="O158" s="41"/>
      <c r="P158" s="41"/>
      <c r="Q158" s="41"/>
      <c r="R158" s="41"/>
    </row>
    <row r="159">
      <c r="C159" s="35"/>
      <c r="E159" s="35"/>
      <c r="G159" s="35"/>
      <c r="I159" s="35"/>
      <c r="K159" s="35"/>
      <c r="L159" s="35"/>
      <c r="N159" s="41"/>
      <c r="O159" s="41"/>
      <c r="P159" s="41"/>
      <c r="Q159" s="41"/>
      <c r="R159" s="41"/>
    </row>
    <row r="160">
      <c r="C160" s="35"/>
      <c r="E160" s="35"/>
      <c r="G160" s="35"/>
      <c r="I160" s="35"/>
      <c r="K160" s="35"/>
      <c r="L160" s="35"/>
      <c r="N160" s="41"/>
      <c r="O160" s="41"/>
      <c r="P160" s="41"/>
      <c r="Q160" s="41"/>
      <c r="R160" s="41"/>
    </row>
    <row r="161">
      <c r="C161" s="35"/>
      <c r="E161" s="35"/>
      <c r="G161" s="35"/>
      <c r="I161" s="35"/>
      <c r="K161" s="35"/>
      <c r="L161" s="35"/>
      <c r="N161" s="41"/>
      <c r="O161" s="41"/>
      <c r="P161" s="41"/>
      <c r="Q161" s="41"/>
      <c r="R161" s="41"/>
    </row>
    <row r="162">
      <c r="C162" s="35"/>
      <c r="E162" s="35"/>
      <c r="G162" s="35"/>
      <c r="I162" s="35"/>
      <c r="K162" s="35"/>
      <c r="L162" s="35"/>
      <c r="N162" s="41"/>
      <c r="O162" s="41"/>
      <c r="P162" s="41"/>
      <c r="Q162" s="41"/>
      <c r="R162" s="41"/>
    </row>
    <row r="163">
      <c r="C163" s="35"/>
      <c r="E163" s="35"/>
      <c r="G163" s="35"/>
      <c r="I163" s="35"/>
      <c r="K163" s="35"/>
      <c r="L163" s="35"/>
      <c r="N163" s="41"/>
      <c r="O163" s="41"/>
      <c r="P163" s="41"/>
      <c r="Q163" s="41"/>
      <c r="R163" s="41"/>
    </row>
    <row r="164">
      <c r="C164" s="35"/>
      <c r="E164" s="35"/>
      <c r="G164" s="35"/>
      <c r="I164" s="35"/>
      <c r="K164" s="35"/>
      <c r="L164" s="35"/>
      <c r="N164" s="41"/>
      <c r="O164" s="41"/>
      <c r="P164" s="41"/>
      <c r="Q164" s="41"/>
      <c r="R164" s="41"/>
    </row>
    <row r="165">
      <c r="C165" s="35"/>
      <c r="E165" s="35"/>
      <c r="G165" s="35"/>
      <c r="I165" s="35"/>
      <c r="K165" s="35"/>
      <c r="L165" s="35"/>
      <c r="N165" s="41"/>
      <c r="O165" s="41"/>
      <c r="P165" s="41"/>
      <c r="Q165" s="41"/>
      <c r="R165" s="41"/>
    </row>
    <row r="166">
      <c r="C166" s="35"/>
      <c r="E166" s="35"/>
      <c r="G166" s="35"/>
      <c r="I166" s="35"/>
      <c r="K166" s="35"/>
      <c r="L166" s="35"/>
      <c r="N166" s="41"/>
      <c r="O166" s="41"/>
      <c r="P166" s="41"/>
      <c r="Q166" s="41"/>
      <c r="R166" s="41"/>
    </row>
    <row r="167">
      <c r="C167" s="35"/>
      <c r="E167" s="35"/>
      <c r="G167" s="35"/>
      <c r="I167" s="35"/>
      <c r="K167" s="35"/>
      <c r="L167" s="35"/>
      <c r="N167" s="41"/>
      <c r="O167" s="41"/>
      <c r="P167" s="41"/>
      <c r="Q167" s="41"/>
      <c r="R167" s="41"/>
    </row>
    <row r="168">
      <c r="C168" s="35"/>
      <c r="E168" s="35"/>
      <c r="G168" s="35"/>
      <c r="I168" s="35"/>
      <c r="K168" s="35"/>
      <c r="L168" s="35"/>
      <c r="N168" s="41"/>
      <c r="O168" s="41"/>
      <c r="P168" s="41"/>
      <c r="Q168" s="41"/>
      <c r="R168" s="41"/>
    </row>
    <row r="169">
      <c r="C169" s="35"/>
      <c r="E169" s="35"/>
      <c r="G169" s="35"/>
      <c r="I169" s="35"/>
      <c r="K169" s="35"/>
      <c r="L169" s="35"/>
      <c r="N169" s="41"/>
      <c r="O169" s="41"/>
      <c r="P169" s="41"/>
      <c r="Q169" s="41"/>
      <c r="R169" s="41"/>
    </row>
    <row r="170">
      <c r="C170" s="35"/>
      <c r="E170" s="35"/>
      <c r="G170" s="35"/>
      <c r="I170" s="35"/>
      <c r="K170" s="35"/>
      <c r="L170" s="35"/>
      <c r="N170" s="41"/>
      <c r="O170" s="41"/>
      <c r="P170" s="41"/>
      <c r="Q170" s="41"/>
      <c r="R170" s="41"/>
    </row>
    <row r="171">
      <c r="C171" s="35"/>
      <c r="E171" s="35"/>
      <c r="G171" s="35"/>
      <c r="I171" s="35"/>
      <c r="K171" s="35"/>
      <c r="L171" s="35"/>
      <c r="N171" s="41"/>
      <c r="O171" s="41"/>
      <c r="P171" s="41"/>
      <c r="Q171" s="41"/>
      <c r="R171" s="41"/>
    </row>
    <row r="172">
      <c r="C172" s="35"/>
      <c r="E172" s="35"/>
      <c r="G172" s="35"/>
      <c r="I172" s="35"/>
      <c r="K172" s="35"/>
      <c r="L172" s="35"/>
      <c r="N172" s="41"/>
      <c r="O172" s="41"/>
      <c r="P172" s="41"/>
      <c r="Q172" s="41"/>
      <c r="R172" s="41"/>
    </row>
    <row r="173">
      <c r="C173" s="35"/>
      <c r="E173" s="35"/>
      <c r="G173" s="35"/>
      <c r="I173" s="35"/>
      <c r="K173" s="35"/>
      <c r="L173" s="35"/>
      <c r="N173" s="41"/>
      <c r="O173" s="41"/>
      <c r="P173" s="41"/>
      <c r="Q173" s="41"/>
      <c r="R173" s="41"/>
    </row>
    <row r="174">
      <c r="C174" s="35"/>
      <c r="E174" s="35"/>
      <c r="G174" s="35"/>
      <c r="I174" s="35"/>
      <c r="K174" s="35"/>
      <c r="L174" s="35"/>
      <c r="N174" s="41"/>
      <c r="O174" s="41"/>
      <c r="P174" s="41"/>
      <c r="Q174" s="41"/>
      <c r="R174" s="41"/>
    </row>
    <row r="175">
      <c r="C175" s="35"/>
      <c r="E175" s="35"/>
      <c r="G175" s="35"/>
      <c r="I175" s="35"/>
      <c r="K175" s="35"/>
      <c r="L175" s="35"/>
      <c r="N175" s="41"/>
      <c r="O175" s="41"/>
      <c r="P175" s="41"/>
      <c r="Q175" s="41"/>
      <c r="R175" s="41"/>
    </row>
    <row r="176">
      <c r="C176" s="35"/>
      <c r="E176" s="35"/>
      <c r="G176" s="35"/>
      <c r="I176" s="35"/>
      <c r="K176" s="35"/>
      <c r="L176" s="35"/>
      <c r="N176" s="41"/>
      <c r="O176" s="41"/>
      <c r="P176" s="41"/>
      <c r="Q176" s="41"/>
      <c r="R176" s="41"/>
    </row>
    <row r="177">
      <c r="C177" s="35"/>
      <c r="E177" s="35"/>
      <c r="G177" s="35"/>
      <c r="I177" s="35"/>
      <c r="K177" s="35"/>
      <c r="L177" s="35"/>
      <c r="N177" s="41"/>
      <c r="O177" s="41"/>
      <c r="P177" s="41"/>
      <c r="Q177" s="41"/>
      <c r="R177" s="41"/>
    </row>
    <row r="178">
      <c r="C178" s="35"/>
      <c r="E178" s="35"/>
      <c r="G178" s="35"/>
      <c r="I178" s="35"/>
      <c r="K178" s="35"/>
      <c r="L178" s="35"/>
      <c r="N178" s="41"/>
      <c r="O178" s="41"/>
      <c r="P178" s="41"/>
      <c r="Q178" s="41"/>
      <c r="R178" s="41"/>
    </row>
    <row r="179">
      <c r="C179" s="35"/>
      <c r="E179" s="35"/>
      <c r="G179" s="35"/>
      <c r="I179" s="35"/>
      <c r="K179" s="35"/>
      <c r="L179" s="35"/>
      <c r="N179" s="41"/>
      <c r="O179" s="41"/>
      <c r="P179" s="41"/>
      <c r="Q179" s="41"/>
      <c r="R179" s="41"/>
    </row>
    <row r="180">
      <c r="C180" s="35"/>
      <c r="E180" s="35"/>
      <c r="G180" s="35"/>
      <c r="I180" s="35"/>
      <c r="K180" s="35"/>
      <c r="L180" s="35"/>
      <c r="N180" s="41"/>
      <c r="O180" s="41"/>
      <c r="P180" s="41"/>
      <c r="Q180" s="41"/>
      <c r="R180" s="41"/>
    </row>
    <row r="181">
      <c r="C181" s="35"/>
      <c r="E181" s="35"/>
      <c r="G181" s="35"/>
      <c r="I181" s="35"/>
      <c r="K181" s="35"/>
      <c r="L181" s="35"/>
      <c r="N181" s="41"/>
      <c r="O181" s="41"/>
      <c r="P181" s="41"/>
      <c r="Q181" s="41"/>
      <c r="R181" s="41"/>
    </row>
    <row r="182">
      <c r="C182" s="35"/>
      <c r="E182" s="35"/>
      <c r="G182" s="35"/>
      <c r="I182" s="35"/>
      <c r="K182" s="35"/>
      <c r="L182" s="35"/>
      <c r="N182" s="41"/>
      <c r="O182" s="41"/>
      <c r="P182" s="41"/>
      <c r="Q182" s="41"/>
      <c r="R182" s="41"/>
    </row>
    <row r="183">
      <c r="C183" s="35"/>
      <c r="E183" s="35"/>
      <c r="G183" s="35"/>
      <c r="I183" s="35"/>
      <c r="K183" s="35"/>
      <c r="L183" s="35"/>
      <c r="N183" s="41"/>
      <c r="O183" s="41"/>
      <c r="P183" s="41"/>
      <c r="Q183" s="41"/>
      <c r="R183" s="41"/>
    </row>
    <row r="184">
      <c r="C184" s="35"/>
      <c r="E184" s="35"/>
      <c r="G184" s="35"/>
      <c r="I184" s="35"/>
      <c r="K184" s="35"/>
      <c r="L184" s="35"/>
      <c r="N184" s="41"/>
      <c r="O184" s="41"/>
      <c r="P184" s="41"/>
      <c r="Q184" s="41"/>
      <c r="R184" s="41"/>
    </row>
    <row r="185">
      <c r="C185" s="35"/>
      <c r="E185" s="35"/>
      <c r="G185" s="35"/>
      <c r="I185" s="35"/>
      <c r="K185" s="35"/>
      <c r="L185" s="35"/>
      <c r="N185" s="41"/>
      <c r="O185" s="41"/>
      <c r="P185" s="41"/>
      <c r="Q185" s="41"/>
      <c r="R185" s="41"/>
    </row>
    <row r="186">
      <c r="C186" s="35"/>
      <c r="E186" s="35"/>
      <c r="G186" s="35"/>
      <c r="I186" s="35"/>
      <c r="K186" s="35"/>
      <c r="L186" s="35"/>
      <c r="N186" s="41"/>
      <c r="O186" s="41"/>
      <c r="P186" s="41"/>
      <c r="Q186" s="41"/>
      <c r="R186" s="41"/>
    </row>
    <row r="187">
      <c r="C187" s="35"/>
      <c r="E187" s="35"/>
      <c r="G187" s="35"/>
      <c r="I187" s="35"/>
      <c r="K187" s="35"/>
      <c r="L187" s="35"/>
      <c r="N187" s="41"/>
      <c r="O187" s="41"/>
      <c r="P187" s="41"/>
      <c r="Q187" s="41"/>
      <c r="R187" s="41"/>
    </row>
    <row r="188">
      <c r="C188" s="35"/>
      <c r="E188" s="35"/>
      <c r="G188" s="35"/>
      <c r="I188" s="35"/>
      <c r="K188" s="35"/>
      <c r="L188" s="35"/>
      <c r="N188" s="41"/>
      <c r="O188" s="41"/>
      <c r="P188" s="41"/>
      <c r="Q188" s="41"/>
      <c r="R188" s="41"/>
    </row>
    <row r="189">
      <c r="C189" s="35"/>
      <c r="E189" s="35"/>
      <c r="G189" s="35"/>
      <c r="I189" s="35"/>
      <c r="K189" s="35"/>
      <c r="L189" s="35"/>
      <c r="N189" s="41"/>
      <c r="O189" s="41"/>
      <c r="P189" s="41"/>
      <c r="Q189" s="41"/>
      <c r="R189" s="41"/>
    </row>
    <row r="190">
      <c r="C190" s="35"/>
      <c r="E190" s="35"/>
      <c r="G190" s="35"/>
      <c r="I190" s="35"/>
      <c r="K190" s="35"/>
      <c r="L190" s="35"/>
      <c r="N190" s="41"/>
      <c r="O190" s="41"/>
      <c r="P190" s="41"/>
      <c r="Q190" s="41"/>
      <c r="R190" s="41"/>
    </row>
    <row r="191">
      <c r="C191" s="35"/>
      <c r="E191" s="35"/>
      <c r="G191" s="35"/>
      <c r="I191" s="35"/>
      <c r="K191" s="35"/>
      <c r="L191" s="35"/>
      <c r="N191" s="41"/>
      <c r="O191" s="41"/>
      <c r="P191" s="41"/>
      <c r="Q191" s="41"/>
      <c r="R191" s="41"/>
    </row>
    <row r="192">
      <c r="C192" s="35"/>
      <c r="E192" s="35"/>
      <c r="G192" s="35"/>
      <c r="I192" s="35"/>
      <c r="K192" s="35"/>
      <c r="L192" s="35"/>
      <c r="N192" s="41"/>
      <c r="O192" s="41"/>
      <c r="P192" s="41"/>
      <c r="Q192" s="41"/>
      <c r="R192" s="41"/>
    </row>
    <row r="193">
      <c r="C193" s="35"/>
      <c r="E193" s="35"/>
      <c r="G193" s="35"/>
      <c r="I193" s="35"/>
      <c r="K193" s="35"/>
      <c r="L193" s="35"/>
      <c r="N193" s="41"/>
      <c r="O193" s="41"/>
      <c r="P193" s="41"/>
      <c r="Q193" s="41"/>
      <c r="R193" s="41"/>
    </row>
    <row r="194">
      <c r="C194" s="35"/>
      <c r="E194" s="35"/>
      <c r="G194" s="35"/>
      <c r="I194" s="35"/>
      <c r="K194" s="35"/>
      <c r="L194" s="35"/>
      <c r="N194" s="41"/>
      <c r="O194" s="41"/>
      <c r="P194" s="41"/>
      <c r="Q194" s="41"/>
      <c r="R194" s="41"/>
    </row>
    <row r="195">
      <c r="C195" s="35"/>
      <c r="E195" s="35"/>
      <c r="G195" s="35"/>
      <c r="I195" s="35"/>
      <c r="K195" s="35"/>
      <c r="L195" s="35"/>
      <c r="N195" s="41"/>
      <c r="O195" s="41"/>
      <c r="P195" s="41"/>
      <c r="Q195" s="41"/>
      <c r="R195" s="41"/>
    </row>
    <row r="196">
      <c r="C196" s="35"/>
      <c r="E196" s="35"/>
      <c r="G196" s="35"/>
      <c r="I196" s="35"/>
      <c r="K196" s="35"/>
      <c r="L196" s="35"/>
      <c r="N196" s="41"/>
      <c r="O196" s="41"/>
      <c r="P196" s="41"/>
      <c r="Q196" s="41"/>
      <c r="R196" s="41"/>
    </row>
    <row r="197">
      <c r="C197" s="35"/>
      <c r="E197" s="35"/>
      <c r="G197" s="35"/>
      <c r="I197" s="35"/>
      <c r="K197" s="35"/>
      <c r="L197" s="35"/>
      <c r="N197" s="41"/>
      <c r="O197" s="41"/>
      <c r="P197" s="41"/>
      <c r="Q197" s="41"/>
      <c r="R197" s="41"/>
    </row>
    <row r="198">
      <c r="C198" s="35"/>
      <c r="E198" s="35"/>
      <c r="G198" s="35"/>
      <c r="I198" s="35"/>
      <c r="K198" s="35"/>
      <c r="L198" s="35"/>
      <c r="N198" s="41"/>
      <c r="O198" s="41"/>
      <c r="P198" s="41"/>
      <c r="Q198" s="41"/>
      <c r="R198" s="41"/>
    </row>
    <row r="199">
      <c r="C199" s="35"/>
      <c r="E199" s="35"/>
      <c r="G199" s="35"/>
      <c r="I199" s="35"/>
      <c r="K199" s="35"/>
      <c r="L199" s="35"/>
      <c r="N199" s="41"/>
      <c r="O199" s="41"/>
      <c r="P199" s="41"/>
      <c r="Q199" s="41"/>
      <c r="R199" s="41"/>
    </row>
    <row r="200">
      <c r="C200" s="35"/>
      <c r="E200" s="35"/>
      <c r="G200" s="35"/>
      <c r="I200" s="35"/>
      <c r="K200" s="35"/>
      <c r="L200" s="35"/>
      <c r="N200" s="41"/>
      <c r="O200" s="41"/>
      <c r="P200" s="41"/>
      <c r="Q200" s="41"/>
      <c r="R200" s="41"/>
    </row>
    <row r="201">
      <c r="C201" s="35"/>
      <c r="E201" s="35"/>
      <c r="G201" s="35"/>
      <c r="I201" s="35"/>
      <c r="K201" s="35"/>
      <c r="L201" s="35"/>
      <c r="N201" s="41"/>
      <c r="O201" s="41"/>
      <c r="P201" s="41"/>
      <c r="Q201" s="41"/>
      <c r="R201" s="41"/>
    </row>
    <row r="202">
      <c r="C202" s="35"/>
      <c r="E202" s="35"/>
      <c r="G202" s="35"/>
      <c r="I202" s="35"/>
      <c r="K202" s="35"/>
      <c r="L202" s="35"/>
      <c r="N202" s="41"/>
      <c r="O202" s="41"/>
      <c r="P202" s="41"/>
      <c r="Q202" s="41"/>
      <c r="R202" s="41"/>
    </row>
    <row r="203">
      <c r="C203" s="35"/>
      <c r="E203" s="35"/>
      <c r="G203" s="35"/>
      <c r="I203" s="35"/>
      <c r="K203" s="35"/>
      <c r="L203" s="35"/>
      <c r="N203" s="41"/>
      <c r="O203" s="41"/>
      <c r="P203" s="41"/>
      <c r="Q203" s="41"/>
      <c r="R203" s="41"/>
    </row>
    <row r="204">
      <c r="C204" s="35"/>
      <c r="E204" s="35"/>
      <c r="G204" s="35"/>
      <c r="I204" s="35"/>
      <c r="K204" s="35"/>
      <c r="L204" s="35"/>
      <c r="N204" s="41"/>
      <c r="O204" s="41"/>
      <c r="P204" s="41"/>
      <c r="Q204" s="41"/>
      <c r="R204" s="41"/>
    </row>
    <row r="205">
      <c r="C205" s="35"/>
      <c r="E205" s="35"/>
      <c r="G205" s="35"/>
      <c r="I205" s="35"/>
      <c r="K205" s="35"/>
      <c r="L205" s="35"/>
      <c r="N205" s="41"/>
      <c r="O205" s="41"/>
      <c r="P205" s="41"/>
      <c r="Q205" s="41"/>
      <c r="R205" s="41"/>
    </row>
    <row r="206">
      <c r="C206" s="35"/>
      <c r="E206" s="35"/>
      <c r="G206" s="35"/>
      <c r="I206" s="35"/>
      <c r="K206" s="35"/>
      <c r="L206" s="35"/>
      <c r="N206" s="41"/>
      <c r="O206" s="41"/>
      <c r="P206" s="41"/>
      <c r="Q206" s="41"/>
      <c r="R206" s="41"/>
    </row>
    <row r="207">
      <c r="C207" s="35"/>
      <c r="E207" s="35"/>
      <c r="G207" s="35"/>
      <c r="I207" s="35"/>
      <c r="K207" s="35"/>
      <c r="L207" s="35"/>
      <c r="N207" s="41"/>
      <c r="O207" s="41"/>
      <c r="P207" s="41"/>
      <c r="Q207" s="41"/>
      <c r="R207" s="41"/>
    </row>
    <row r="208">
      <c r="C208" s="35"/>
      <c r="E208" s="35"/>
      <c r="G208" s="35"/>
      <c r="I208" s="35"/>
      <c r="K208" s="35"/>
      <c r="L208" s="35"/>
      <c r="N208" s="41"/>
      <c r="O208" s="41"/>
      <c r="P208" s="41"/>
      <c r="Q208" s="41"/>
      <c r="R208" s="41"/>
    </row>
    <row r="209">
      <c r="C209" s="35"/>
      <c r="E209" s="35"/>
      <c r="G209" s="35"/>
      <c r="I209" s="35"/>
      <c r="K209" s="35"/>
      <c r="L209" s="35"/>
      <c r="N209" s="41"/>
      <c r="O209" s="41"/>
      <c r="P209" s="41"/>
      <c r="Q209" s="41"/>
      <c r="R209" s="41"/>
    </row>
    <row r="210">
      <c r="C210" s="35"/>
      <c r="E210" s="35"/>
      <c r="G210" s="35"/>
      <c r="I210" s="35"/>
      <c r="K210" s="35"/>
      <c r="L210" s="35"/>
      <c r="N210" s="41"/>
      <c r="O210" s="41"/>
      <c r="P210" s="41"/>
      <c r="Q210" s="41"/>
      <c r="R210" s="41"/>
    </row>
    <row r="211">
      <c r="C211" s="35"/>
      <c r="E211" s="35"/>
      <c r="G211" s="35"/>
      <c r="I211" s="35"/>
      <c r="K211" s="35"/>
      <c r="L211" s="35"/>
      <c r="N211" s="41"/>
      <c r="O211" s="41"/>
      <c r="P211" s="41"/>
      <c r="Q211" s="41"/>
      <c r="R211" s="41"/>
    </row>
    <row r="212">
      <c r="C212" s="35"/>
      <c r="E212" s="35"/>
      <c r="G212" s="35"/>
      <c r="I212" s="35"/>
      <c r="K212" s="35"/>
      <c r="L212" s="35"/>
      <c r="N212" s="41"/>
      <c r="O212" s="41"/>
      <c r="P212" s="41"/>
      <c r="Q212" s="41"/>
      <c r="R212" s="41"/>
    </row>
    <row r="213">
      <c r="C213" s="35"/>
      <c r="E213" s="35"/>
      <c r="G213" s="35"/>
      <c r="I213" s="35"/>
      <c r="K213" s="35"/>
      <c r="L213" s="35"/>
      <c r="N213" s="41"/>
      <c r="O213" s="41"/>
      <c r="P213" s="41"/>
      <c r="Q213" s="41"/>
      <c r="R213" s="41"/>
    </row>
    <row r="214">
      <c r="C214" s="35"/>
      <c r="E214" s="35"/>
      <c r="G214" s="35"/>
      <c r="I214" s="35"/>
      <c r="K214" s="35"/>
      <c r="L214" s="35"/>
      <c r="N214" s="41"/>
      <c r="O214" s="41"/>
      <c r="P214" s="41"/>
      <c r="Q214" s="41"/>
      <c r="R214" s="41"/>
    </row>
    <row r="215">
      <c r="C215" s="35"/>
      <c r="E215" s="35"/>
      <c r="G215" s="35"/>
      <c r="I215" s="35"/>
      <c r="K215" s="35"/>
      <c r="L215" s="35"/>
      <c r="N215" s="41"/>
      <c r="O215" s="41"/>
      <c r="P215" s="41"/>
      <c r="Q215" s="41"/>
      <c r="R215" s="41"/>
    </row>
    <row r="216">
      <c r="C216" s="35"/>
      <c r="E216" s="35"/>
      <c r="G216" s="35"/>
      <c r="I216" s="35"/>
      <c r="K216" s="35"/>
      <c r="L216" s="35"/>
      <c r="N216" s="41"/>
      <c r="O216" s="41"/>
      <c r="P216" s="41"/>
      <c r="Q216" s="41"/>
      <c r="R216" s="41"/>
    </row>
    <row r="217">
      <c r="C217" s="35"/>
      <c r="E217" s="35"/>
      <c r="G217" s="35"/>
      <c r="I217" s="35"/>
      <c r="K217" s="35"/>
      <c r="L217" s="35"/>
      <c r="N217" s="41"/>
      <c r="O217" s="41"/>
      <c r="P217" s="41"/>
      <c r="Q217" s="41"/>
      <c r="R217" s="41"/>
    </row>
    <row r="218">
      <c r="C218" s="35"/>
      <c r="E218" s="35"/>
      <c r="G218" s="35"/>
      <c r="I218" s="35"/>
      <c r="K218" s="35"/>
      <c r="L218" s="35"/>
      <c r="N218" s="41"/>
      <c r="O218" s="41"/>
      <c r="P218" s="41"/>
      <c r="Q218" s="41"/>
      <c r="R218" s="41"/>
    </row>
    <row r="219">
      <c r="C219" s="35"/>
      <c r="E219" s="35"/>
      <c r="G219" s="35"/>
      <c r="I219" s="35"/>
      <c r="K219" s="35"/>
      <c r="L219" s="35"/>
      <c r="N219" s="41"/>
      <c r="O219" s="41"/>
      <c r="P219" s="41"/>
      <c r="Q219" s="41"/>
      <c r="R219" s="41"/>
    </row>
    <row r="220">
      <c r="C220" s="35"/>
      <c r="E220" s="35"/>
      <c r="G220" s="35"/>
      <c r="I220" s="35"/>
      <c r="K220" s="35"/>
      <c r="L220" s="35"/>
      <c r="N220" s="41"/>
      <c r="O220" s="41"/>
      <c r="P220" s="41"/>
      <c r="Q220" s="41"/>
      <c r="R220" s="41"/>
    </row>
    <row r="221">
      <c r="C221" s="35"/>
      <c r="E221" s="35"/>
      <c r="G221" s="35"/>
      <c r="I221" s="35"/>
      <c r="K221" s="35"/>
      <c r="L221" s="35"/>
      <c r="N221" s="41"/>
      <c r="O221" s="41"/>
      <c r="P221" s="41"/>
      <c r="Q221" s="41"/>
      <c r="R221" s="41"/>
    </row>
    <row r="222">
      <c r="C222" s="35"/>
      <c r="E222" s="35"/>
      <c r="G222" s="35"/>
      <c r="I222" s="35"/>
      <c r="K222" s="35"/>
      <c r="L222" s="35"/>
      <c r="N222" s="41"/>
      <c r="O222" s="41"/>
      <c r="P222" s="41"/>
      <c r="Q222" s="41"/>
      <c r="R222" s="41"/>
    </row>
    <row r="223">
      <c r="C223" s="35"/>
      <c r="E223" s="35"/>
      <c r="G223" s="35"/>
      <c r="I223" s="35"/>
      <c r="K223" s="35"/>
      <c r="L223" s="35"/>
      <c r="N223" s="41"/>
      <c r="O223" s="41"/>
      <c r="P223" s="41"/>
      <c r="Q223" s="41"/>
      <c r="R223" s="41"/>
    </row>
    <row r="224">
      <c r="C224" s="35"/>
      <c r="E224" s="35"/>
      <c r="G224" s="35"/>
      <c r="I224" s="35"/>
      <c r="K224" s="35"/>
      <c r="L224" s="35"/>
      <c r="N224" s="41"/>
      <c r="O224" s="41"/>
      <c r="P224" s="41"/>
      <c r="Q224" s="41"/>
      <c r="R224" s="41"/>
    </row>
    <row r="225">
      <c r="C225" s="35"/>
      <c r="E225" s="35"/>
      <c r="G225" s="35"/>
      <c r="I225" s="35"/>
      <c r="K225" s="35"/>
      <c r="L225" s="35"/>
      <c r="N225" s="41"/>
      <c r="O225" s="41"/>
      <c r="P225" s="41"/>
      <c r="Q225" s="41"/>
      <c r="R225" s="41"/>
    </row>
    <row r="226">
      <c r="C226" s="35"/>
      <c r="E226" s="35"/>
      <c r="G226" s="35"/>
      <c r="I226" s="35"/>
      <c r="K226" s="35"/>
      <c r="L226" s="35"/>
      <c r="N226" s="41"/>
      <c r="O226" s="41"/>
      <c r="P226" s="41"/>
      <c r="Q226" s="41"/>
      <c r="R226" s="41"/>
    </row>
    <row r="227">
      <c r="C227" s="35"/>
      <c r="E227" s="35"/>
      <c r="G227" s="35"/>
      <c r="I227" s="35"/>
      <c r="K227" s="35"/>
      <c r="L227" s="35"/>
      <c r="N227" s="41"/>
      <c r="O227" s="41"/>
      <c r="P227" s="41"/>
      <c r="Q227" s="41"/>
      <c r="R227" s="41"/>
    </row>
    <row r="228">
      <c r="C228" s="35"/>
      <c r="E228" s="35"/>
      <c r="G228" s="35"/>
      <c r="I228" s="35"/>
      <c r="K228" s="35"/>
      <c r="L228" s="35"/>
      <c r="N228" s="41"/>
      <c r="O228" s="41"/>
      <c r="P228" s="41"/>
      <c r="Q228" s="41"/>
      <c r="R228" s="41"/>
    </row>
    <row r="229">
      <c r="C229" s="35"/>
      <c r="E229" s="35"/>
      <c r="G229" s="35"/>
      <c r="I229" s="35"/>
      <c r="K229" s="35"/>
      <c r="L229" s="35"/>
      <c r="N229" s="41"/>
      <c r="O229" s="41"/>
      <c r="P229" s="41"/>
      <c r="Q229" s="41"/>
      <c r="R229" s="41"/>
    </row>
    <row r="230">
      <c r="C230" s="35"/>
      <c r="E230" s="35"/>
      <c r="G230" s="35"/>
      <c r="I230" s="35"/>
      <c r="K230" s="35"/>
      <c r="L230" s="35"/>
      <c r="N230" s="41"/>
      <c r="O230" s="41"/>
      <c r="P230" s="41"/>
      <c r="Q230" s="41"/>
      <c r="R230" s="41"/>
    </row>
    <row r="231">
      <c r="C231" s="35"/>
      <c r="E231" s="35"/>
      <c r="G231" s="35"/>
      <c r="I231" s="35"/>
      <c r="K231" s="35"/>
      <c r="L231" s="35"/>
      <c r="N231" s="41"/>
      <c r="O231" s="41"/>
      <c r="P231" s="41"/>
      <c r="Q231" s="41"/>
      <c r="R231" s="41"/>
    </row>
    <row r="232">
      <c r="C232" s="35"/>
      <c r="E232" s="35"/>
      <c r="G232" s="35"/>
      <c r="I232" s="35"/>
      <c r="K232" s="35"/>
      <c r="L232" s="35"/>
      <c r="N232" s="41"/>
      <c r="O232" s="41"/>
      <c r="P232" s="41"/>
      <c r="Q232" s="41"/>
      <c r="R232" s="41"/>
    </row>
    <row r="233">
      <c r="C233" s="35"/>
      <c r="E233" s="35"/>
      <c r="G233" s="35"/>
      <c r="I233" s="35"/>
      <c r="K233" s="35"/>
      <c r="L233" s="35"/>
      <c r="N233" s="41"/>
      <c r="O233" s="41"/>
      <c r="P233" s="41"/>
      <c r="Q233" s="41"/>
      <c r="R233" s="41"/>
    </row>
    <row r="234">
      <c r="C234" s="35"/>
      <c r="E234" s="35"/>
      <c r="G234" s="35"/>
      <c r="I234" s="35"/>
      <c r="K234" s="35"/>
      <c r="L234" s="35"/>
      <c r="N234" s="41"/>
      <c r="O234" s="41"/>
      <c r="P234" s="41"/>
      <c r="Q234" s="41"/>
      <c r="R234" s="41"/>
    </row>
    <row r="235">
      <c r="C235" s="35"/>
      <c r="E235" s="35"/>
      <c r="G235" s="35"/>
      <c r="I235" s="35"/>
      <c r="K235" s="35"/>
      <c r="L235" s="35"/>
      <c r="N235" s="41"/>
      <c r="O235" s="41"/>
      <c r="P235" s="41"/>
      <c r="Q235" s="41"/>
      <c r="R235" s="41"/>
    </row>
    <row r="236">
      <c r="C236" s="35"/>
      <c r="E236" s="35"/>
      <c r="G236" s="35"/>
      <c r="I236" s="35"/>
      <c r="K236" s="35"/>
      <c r="L236" s="35"/>
      <c r="N236" s="41"/>
      <c r="O236" s="41"/>
      <c r="P236" s="41"/>
      <c r="Q236" s="41"/>
      <c r="R236" s="41"/>
    </row>
    <row r="237">
      <c r="C237" s="35"/>
      <c r="E237" s="35"/>
      <c r="G237" s="35"/>
      <c r="I237" s="35"/>
      <c r="K237" s="35"/>
      <c r="L237" s="35"/>
      <c r="N237" s="41"/>
      <c r="O237" s="41"/>
      <c r="P237" s="41"/>
      <c r="Q237" s="41"/>
      <c r="R237" s="41"/>
    </row>
    <row r="238">
      <c r="C238" s="35"/>
      <c r="E238" s="35"/>
      <c r="G238" s="35"/>
      <c r="I238" s="35"/>
      <c r="K238" s="35"/>
      <c r="L238" s="35"/>
      <c r="N238" s="41"/>
      <c r="O238" s="41"/>
      <c r="P238" s="41"/>
      <c r="Q238" s="41"/>
      <c r="R238" s="41"/>
    </row>
    <row r="239">
      <c r="C239" s="35"/>
      <c r="E239" s="35"/>
      <c r="G239" s="35"/>
      <c r="I239" s="35"/>
      <c r="K239" s="35"/>
      <c r="L239" s="35"/>
      <c r="N239" s="41"/>
      <c r="O239" s="41"/>
      <c r="P239" s="41"/>
      <c r="Q239" s="41"/>
      <c r="R239" s="41"/>
    </row>
    <row r="240">
      <c r="C240" s="35"/>
      <c r="E240" s="35"/>
      <c r="G240" s="35"/>
      <c r="I240" s="35"/>
      <c r="K240" s="35"/>
      <c r="L240" s="35"/>
      <c r="N240" s="41"/>
      <c r="O240" s="41"/>
      <c r="P240" s="41"/>
      <c r="Q240" s="41"/>
      <c r="R240" s="41"/>
    </row>
    <row r="241">
      <c r="C241" s="35"/>
      <c r="E241" s="35"/>
      <c r="G241" s="35"/>
      <c r="I241" s="35"/>
      <c r="K241" s="35"/>
      <c r="L241" s="35"/>
      <c r="N241" s="41"/>
      <c r="O241" s="41"/>
      <c r="P241" s="41"/>
      <c r="Q241" s="41"/>
      <c r="R241" s="41"/>
    </row>
    <row r="242">
      <c r="C242" s="35"/>
      <c r="E242" s="35"/>
      <c r="G242" s="35"/>
      <c r="I242" s="35"/>
      <c r="K242" s="35"/>
      <c r="L242" s="35"/>
      <c r="N242" s="41"/>
      <c r="O242" s="41"/>
      <c r="P242" s="41"/>
      <c r="Q242" s="41"/>
      <c r="R242" s="41"/>
    </row>
    <row r="243">
      <c r="C243" s="35"/>
      <c r="E243" s="35"/>
      <c r="G243" s="35"/>
      <c r="I243" s="35"/>
      <c r="K243" s="35"/>
      <c r="L243" s="35"/>
      <c r="N243" s="41"/>
      <c r="O243" s="41"/>
      <c r="P243" s="41"/>
      <c r="Q243" s="41"/>
      <c r="R243" s="41"/>
    </row>
    <row r="244">
      <c r="C244" s="35"/>
      <c r="E244" s="35"/>
      <c r="G244" s="35"/>
      <c r="I244" s="35"/>
      <c r="K244" s="35"/>
      <c r="L244" s="35"/>
      <c r="N244" s="41"/>
      <c r="O244" s="41"/>
      <c r="P244" s="41"/>
      <c r="Q244" s="41"/>
      <c r="R244" s="41"/>
    </row>
    <row r="245">
      <c r="C245" s="35"/>
      <c r="E245" s="35"/>
      <c r="G245" s="35"/>
      <c r="I245" s="35"/>
      <c r="K245" s="35"/>
      <c r="L245" s="35"/>
      <c r="N245" s="41"/>
      <c r="O245" s="41"/>
      <c r="P245" s="41"/>
      <c r="Q245" s="41"/>
      <c r="R245" s="41"/>
    </row>
    <row r="246">
      <c r="C246" s="35"/>
      <c r="E246" s="35"/>
      <c r="G246" s="35"/>
      <c r="I246" s="35"/>
      <c r="K246" s="35"/>
      <c r="L246" s="35"/>
      <c r="N246" s="41"/>
      <c r="O246" s="41"/>
      <c r="P246" s="41"/>
      <c r="Q246" s="41"/>
      <c r="R246" s="41"/>
    </row>
    <row r="247">
      <c r="C247" s="35"/>
      <c r="E247" s="35"/>
      <c r="G247" s="35"/>
      <c r="I247" s="35"/>
      <c r="K247" s="35"/>
      <c r="L247" s="35"/>
      <c r="N247" s="41"/>
      <c r="O247" s="41"/>
      <c r="P247" s="41"/>
      <c r="Q247" s="41"/>
      <c r="R247" s="41"/>
    </row>
    <row r="248">
      <c r="C248" s="35"/>
      <c r="E248" s="35"/>
      <c r="G248" s="35"/>
      <c r="I248" s="35"/>
      <c r="K248" s="35"/>
      <c r="L248" s="35"/>
      <c r="N248" s="41"/>
      <c r="O248" s="41"/>
      <c r="P248" s="41"/>
      <c r="Q248" s="41"/>
      <c r="R248" s="41"/>
    </row>
    <row r="249">
      <c r="C249" s="35"/>
      <c r="E249" s="35"/>
      <c r="G249" s="35"/>
      <c r="I249" s="35"/>
      <c r="K249" s="35"/>
      <c r="L249" s="35"/>
      <c r="N249" s="41"/>
      <c r="O249" s="41"/>
      <c r="P249" s="41"/>
      <c r="Q249" s="41"/>
      <c r="R249" s="41"/>
    </row>
    <row r="250">
      <c r="C250" s="35"/>
      <c r="E250" s="35"/>
      <c r="G250" s="35"/>
      <c r="I250" s="35"/>
      <c r="K250" s="35"/>
      <c r="L250" s="35"/>
      <c r="N250" s="41"/>
      <c r="O250" s="41"/>
      <c r="P250" s="41"/>
      <c r="Q250" s="41"/>
      <c r="R250" s="41"/>
    </row>
    <row r="251">
      <c r="C251" s="35"/>
      <c r="E251" s="35"/>
      <c r="G251" s="35"/>
      <c r="I251" s="35"/>
      <c r="K251" s="35"/>
      <c r="L251" s="35"/>
      <c r="N251" s="41"/>
      <c r="O251" s="41"/>
      <c r="P251" s="41"/>
      <c r="Q251" s="41"/>
      <c r="R251" s="41"/>
    </row>
    <row r="252">
      <c r="C252" s="35"/>
      <c r="E252" s="35"/>
      <c r="G252" s="35"/>
      <c r="I252" s="35"/>
      <c r="K252" s="35"/>
      <c r="L252" s="35"/>
      <c r="N252" s="41"/>
      <c r="O252" s="41"/>
      <c r="P252" s="41"/>
      <c r="Q252" s="41"/>
      <c r="R252" s="41"/>
    </row>
    <row r="253">
      <c r="C253" s="35"/>
      <c r="E253" s="35"/>
      <c r="G253" s="35"/>
      <c r="I253" s="35"/>
      <c r="K253" s="35"/>
      <c r="L253" s="35"/>
      <c r="N253" s="41"/>
      <c r="O253" s="41"/>
      <c r="P253" s="41"/>
      <c r="Q253" s="41"/>
      <c r="R253" s="41"/>
    </row>
    <row r="254">
      <c r="C254" s="35"/>
      <c r="E254" s="35"/>
      <c r="G254" s="35"/>
      <c r="I254" s="35"/>
      <c r="K254" s="35"/>
      <c r="L254" s="35"/>
      <c r="N254" s="41"/>
      <c r="O254" s="41"/>
      <c r="P254" s="41"/>
      <c r="Q254" s="41"/>
      <c r="R254" s="41"/>
    </row>
    <row r="255">
      <c r="C255" s="35"/>
      <c r="E255" s="35"/>
      <c r="G255" s="35"/>
      <c r="I255" s="35"/>
      <c r="K255" s="35"/>
      <c r="L255" s="35"/>
      <c r="N255" s="41"/>
      <c r="O255" s="41"/>
      <c r="P255" s="41"/>
      <c r="Q255" s="41"/>
      <c r="R255" s="41"/>
    </row>
    <row r="256">
      <c r="C256" s="35"/>
      <c r="E256" s="35"/>
      <c r="G256" s="35"/>
      <c r="I256" s="35"/>
      <c r="K256" s="35"/>
      <c r="L256" s="35"/>
      <c r="N256" s="41"/>
      <c r="O256" s="41"/>
      <c r="P256" s="41"/>
      <c r="Q256" s="41"/>
      <c r="R256" s="41"/>
    </row>
    <row r="257">
      <c r="C257" s="35"/>
      <c r="E257" s="35"/>
      <c r="G257" s="35"/>
      <c r="I257" s="35"/>
      <c r="K257" s="35"/>
      <c r="L257" s="35"/>
      <c r="N257" s="41"/>
      <c r="O257" s="41"/>
      <c r="P257" s="41"/>
      <c r="Q257" s="41"/>
      <c r="R257" s="41"/>
    </row>
    <row r="258">
      <c r="C258" s="35"/>
      <c r="E258" s="35"/>
      <c r="G258" s="35"/>
      <c r="I258" s="35"/>
      <c r="K258" s="35"/>
      <c r="L258" s="35"/>
      <c r="N258" s="41"/>
      <c r="O258" s="41"/>
      <c r="P258" s="41"/>
      <c r="Q258" s="41"/>
      <c r="R258" s="41"/>
    </row>
    <row r="259">
      <c r="C259" s="35"/>
      <c r="E259" s="35"/>
      <c r="G259" s="35"/>
      <c r="I259" s="35"/>
      <c r="K259" s="35"/>
      <c r="L259" s="35"/>
      <c r="N259" s="41"/>
      <c r="O259" s="41"/>
      <c r="P259" s="41"/>
      <c r="Q259" s="41"/>
      <c r="R259" s="41"/>
    </row>
    <row r="260">
      <c r="C260" s="35"/>
      <c r="E260" s="35"/>
      <c r="G260" s="35"/>
      <c r="I260" s="35"/>
      <c r="K260" s="35"/>
      <c r="L260" s="35"/>
      <c r="N260" s="41"/>
      <c r="O260" s="41"/>
      <c r="P260" s="41"/>
      <c r="Q260" s="41"/>
      <c r="R260" s="41"/>
    </row>
    <row r="261">
      <c r="C261" s="35"/>
      <c r="E261" s="35"/>
      <c r="G261" s="35"/>
      <c r="I261" s="35"/>
      <c r="K261" s="35"/>
      <c r="L261" s="35"/>
      <c r="N261" s="41"/>
      <c r="O261" s="41"/>
      <c r="P261" s="41"/>
      <c r="Q261" s="41"/>
      <c r="R261" s="41"/>
    </row>
    <row r="262">
      <c r="C262" s="35"/>
      <c r="E262" s="35"/>
      <c r="G262" s="35"/>
      <c r="I262" s="35"/>
      <c r="K262" s="35"/>
      <c r="L262" s="35"/>
      <c r="N262" s="41"/>
      <c r="O262" s="41"/>
      <c r="P262" s="41"/>
      <c r="Q262" s="41"/>
      <c r="R262" s="41"/>
    </row>
    <row r="263">
      <c r="C263" s="35"/>
      <c r="E263" s="35"/>
      <c r="G263" s="35"/>
      <c r="I263" s="35"/>
      <c r="K263" s="35"/>
      <c r="L263" s="35"/>
      <c r="N263" s="41"/>
      <c r="O263" s="41"/>
      <c r="P263" s="41"/>
      <c r="Q263" s="41"/>
      <c r="R263" s="41"/>
    </row>
    <row r="264">
      <c r="C264" s="35"/>
      <c r="E264" s="35"/>
      <c r="G264" s="35"/>
      <c r="I264" s="35"/>
      <c r="K264" s="35"/>
      <c r="L264" s="35"/>
      <c r="N264" s="41"/>
      <c r="O264" s="41"/>
      <c r="P264" s="41"/>
      <c r="Q264" s="41"/>
      <c r="R264" s="41"/>
    </row>
    <row r="265">
      <c r="C265" s="35"/>
      <c r="E265" s="35"/>
      <c r="G265" s="35"/>
      <c r="I265" s="35"/>
      <c r="K265" s="35"/>
      <c r="L265" s="35"/>
      <c r="N265" s="41"/>
      <c r="O265" s="41"/>
      <c r="P265" s="41"/>
      <c r="Q265" s="41"/>
      <c r="R265" s="41"/>
    </row>
    <row r="266">
      <c r="C266" s="35"/>
      <c r="E266" s="35"/>
      <c r="G266" s="35"/>
      <c r="I266" s="35"/>
      <c r="K266" s="35"/>
      <c r="L266" s="35"/>
      <c r="N266" s="41"/>
      <c r="O266" s="41"/>
      <c r="P266" s="41"/>
      <c r="Q266" s="41"/>
      <c r="R266" s="41"/>
    </row>
    <row r="267">
      <c r="C267" s="35"/>
      <c r="E267" s="35"/>
      <c r="G267" s="35"/>
      <c r="I267" s="35"/>
      <c r="K267" s="35"/>
      <c r="L267" s="35"/>
      <c r="N267" s="41"/>
      <c r="O267" s="41"/>
      <c r="P267" s="41"/>
      <c r="Q267" s="41"/>
      <c r="R267" s="41"/>
    </row>
    <row r="268">
      <c r="C268" s="35"/>
      <c r="E268" s="35"/>
      <c r="G268" s="35"/>
      <c r="I268" s="35"/>
      <c r="K268" s="35"/>
      <c r="L268" s="35"/>
      <c r="N268" s="41"/>
      <c r="O268" s="41"/>
      <c r="P268" s="41"/>
      <c r="Q268" s="41"/>
      <c r="R268" s="41"/>
    </row>
    <row r="269">
      <c r="C269" s="35"/>
      <c r="E269" s="35"/>
      <c r="G269" s="35"/>
      <c r="I269" s="35"/>
      <c r="K269" s="35"/>
      <c r="L269" s="35"/>
      <c r="N269" s="41"/>
      <c r="O269" s="41"/>
      <c r="P269" s="41"/>
      <c r="Q269" s="41"/>
      <c r="R269" s="41"/>
    </row>
    <row r="270">
      <c r="C270" s="35"/>
      <c r="E270" s="35"/>
      <c r="G270" s="35"/>
      <c r="I270" s="35"/>
      <c r="K270" s="35"/>
      <c r="L270" s="35"/>
      <c r="N270" s="41"/>
      <c r="O270" s="41"/>
      <c r="P270" s="41"/>
      <c r="Q270" s="41"/>
      <c r="R270" s="41"/>
    </row>
    <row r="271">
      <c r="C271" s="35"/>
      <c r="E271" s="35"/>
      <c r="G271" s="35"/>
      <c r="I271" s="35"/>
      <c r="K271" s="35"/>
      <c r="L271" s="35"/>
      <c r="N271" s="41"/>
      <c r="O271" s="41"/>
      <c r="P271" s="41"/>
      <c r="Q271" s="41"/>
      <c r="R271" s="41"/>
    </row>
    <row r="272">
      <c r="C272" s="35"/>
      <c r="E272" s="35"/>
      <c r="G272" s="35"/>
      <c r="I272" s="35"/>
      <c r="K272" s="35"/>
      <c r="L272" s="35"/>
      <c r="N272" s="41"/>
      <c r="O272" s="41"/>
      <c r="P272" s="41"/>
      <c r="Q272" s="41"/>
      <c r="R272" s="41"/>
    </row>
    <row r="273">
      <c r="C273" s="35"/>
      <c r="E273" s="35"/>
      <c r="G273" s="35"/>
      <c r="I273" s="35"/>
      <c r="K273" s="35"/>
      <c r="L273" s="35"/>
      <c r="N273" s="41"/>
      <c r="O273" s="41"/>
      <c r="P273" s="41"/>
      <c r="Q273" s="41"/>
      <c r="R273" s="41"/>
    </row>
    <row r="274">
      <c r="C274" s="35"/>
      <c r="E274" s="35"/>
      <c r="G274" s="35"/>
      <c r="I274" s="35"/>
      <c r="K274" s="35"/>
      <c r="L274" s="35"/>
      <c r="N274" s="41"/>
      <c r="O274" s="41"/>
      <c r="P274" s="41"/>
      <c r="Q274" s="41"/>
      <c r="R274" s="41"/>
    </row>
    <row r="275">
      <c r="C275" s="35"/>
      <c r="E275" s="35"/>
      <c r="G275" s="35"/>
      <c r="I275" s="35"/>
      <c r="K275" s="35"/>
      <c r="L275" s="35"/>
      <c r="N275" s="41"/>
      <c r="O275" s="41"/>
      <c r="P275" s="41"/>
      <c r="Q275" s="41"/>
      <c r="R275" s="41"/>
    </row>
    <row r="276">
      <c r="C276" s="35"/>
      <c r="E276" s="35"/>
      <c r="G276" s="35"/>
      <c r="I276" s="35"/>
      <c r="K276" s="35"/>
      <c r="L276" s="35"/>
      <c r="N276" s="41"/>
      <c r="O276" s="41"/>
      <c r="P276" s="41"/>
      <c r="Q276" s="41"/>
      <c r="R276" s="41"/>
    </row>
    <row r="277">
      <c r="C277" s="35"/>
      <c r="E277" s="35"/>
      <c r="G277" s="35"/>
      <c r="I277" s="35"/>
      <c r="K277" s="35"/>
      <c r="L277" s="35"/>
      <c r="N277" s="41"/>
      <c r="O277" s="41"/>
      <c r="P277" s="41"/>
      <c r="Q277" s="41"/>
      <c r="R277" s="41"/>
    </row>
    <row r="278">
      <c r="C278" s="35"/>
      <c r="E278" s="35"/>
      <c r="G278" s="35"/>
      <c r="I278" s="35"/>
      <c r="K278" s="35"/>
      <c r="L278" s="35"/>
      <c r="N278" s="41"/>
      <c r="O278" s="41"/>
      <c r="P278" s="41"/>
      <c r="Q278" s="41"/>
      <c r="R278" s="41"/>
    </row>
    <row r="279">
      <c r="C279" s="35"/>
      <c r="E279" s="35"/>
      <c r="G279" s="35"/>
      <c r="I279" s="35"/>
      <c r="K279" s="35"/>
      <c r="L279" s="35"/>
      <c r="N279" s="41"/>
      <c r="O279" s="41"/>
      <c r="P279" s="41"/>
      <c r="Q279" s="41"/>
      <c r="R279" s="41"/>
    </row>
    <row r="280">
      <c r="C280" s="35"/>
      <c r="E280" s="35"/>
      <c r="G280" s="35"/>
      <c r="I280" s="35"/>
      <c r="K280" s="35"/>
      <c r="L280" s="35"/>
      <c r="N280" s="41"/>
      <c r="O280" s="41"/>
      <c r="P280" s="41"/>
      <c r="Q280" s="41"/>
      <c r="R280" s="41"/>
    </row>
    <row r="281">
      <c r="C281" s="35"/>
      <c r="E281" s="35"/>
      <c r="G281" s="35"/>
      <c r="I281" s="35"/>
      <c r="K281" s="35"/>
      <c r="L281" s="35"/>
      <c r="N281" s="41"/>
      <c r="O281" s="41"/>
      <c r="P281" s="41"/>
      <c r="Q281" s="41"/>
      <c r="R281" s="41"/>
    </row>
    <row r="282">
      <c r="C282" s="35"/>
      <c r="E282" s="35"/>
      <c r="G282" s="35"/>
      <c r="I282" s="35"/>
      <c r="K282" s="35"/>
      <c r="L282" s="35"/>
      <c r="N282" s="41"/>
      <c r="O282" s="41"/>
      <c r="P282" s="41"/>
      <c r="Q282" s="41"/>
      <c r="R282" s="41"/>
    </row>
    <row r="283">
      <c r="C283" s="35"/>
      <c r="E283" s="35"/>
      <c r="G283" s="35"/>
      <c r="I283" s="35"/>
      <c r="K283" s="35"/>
      <c r="L283" s="35"/>
      <c r="N283" s="41"/>
      <c r="O283" s="41"/>
      <c r="P283" s="41"/>
      <c r="Q283" s="41"/>
      <c r="R283" s="41"/>
    </row>
    <row r="284">
      <c r="C284" s="35"/>
      <c r="E284" s="35"/>
      <c r="G284" s="35"/>
      <c r="I284" s="35"/>
      <c r="K284" s="35"/>
      <c r="L284" s="35"/>
      <c r="N284" s="41"/>
      <c r="O284" s="41"/>
      <c r="P284" s="41"/>
      <c r="Q284" s="41"/>
      <c r="R284" s="41"/>
    </row>
    <row r="285">
      <c r="C285" s="35"/>
      <c r="E285" s="35"/>
      <c r="G285" s="35"/>
      <c r="I285" s="35"/>
      <c r="K285" s="35"/>
      <c r="L285" s="35"/>
      <c r="N285" s="41"/>
      <c r="O285" s="41"/>
      <c r="P285" s="41"/>
      <c r="Q285" s="41"/>
      <c r="R285" s="41"/>
    </row>
    <row r="286">
      <c r="C286" s="35"/>
      <c r="E286" s="35"/>
      <c r="G286" s="35"/>
      <c r="I286" s="35"/>
      <c r="K286" s="35"/>
      <c r="L286" s="35"/>
      <c r="N286" s="41"/>
      <c r="O286" s="41"/>
      <c r="P286" s="41"/>
      <c r="Q286" s="41"/>
      <c r="R286" s="41"/>
    </row>
    <row r="287">
      <c r="C287" s="35"/>
      <c r="E287" s="35"/>
      <c r="G287" s="35"/>
      <c r="I287" s="35"/>
      <c r="K287" s="35"/>
      <c r="L287" s="35"/>
      <c r="N287" s="41"/>
      <c r="O287" s="41"/>
      <c r="P287" s="41"/>
      <c r="Q287" s="41"/>
      <c r="R287" s="41"/>
    </row>
    <row r="288">
      <c r="C288" s="35"/>
      <c r="E288" s="35"/>
      <c r="G288" s="35"/>
      <c r="I288" s="35"/>
      <c r="K288" s="35"/>
      <c r="L288" s="35"/>
      <c r="N288" s="41"/>
      <c r="O288" s="41"/>
      <c r="P288" s="41"/>
      <c r="Q288" s="41"/>
      <c r="R288" s="41"/>
    </row>
    <row r="289">
      <c r="C289" s="35"/>
      <c r="E289" s="35"/>
      <c r="G289" s="35"/>
      <c r="I289" s="35"/>
      <c r="K289" s="35"/>
      <c r="L289" s="35"/>
      <c r="N289" s="41"/>
      <c r="O289" s="41"/>
      <c r="P289" s="41"/>
      <c r="Q289" s="41"/>
      <c r="R289" s="41"/>
    </row>
    <row r="290">
      <c r="C290" s="35"/>
      <c r="E290" s="35"/>
      <c r="G290" s="35"/>
      <c r="I290" s="35"/>
      <c r="K290" s="35"/>
      <c r="L290" s="35"/>
      <c r="N290" s="41"/>
      <c r="O290" s="41"/>
      <c r="P290" s="41"/>
      <c r="Q290" s="41"/>
      <c r="R290" s="41"/>
    </row>
    <row r="291">
      <c r="C291" s="35"/>
      <c r="E291" s="35"/>
      <c r="G291" s="35"/>
      <c r="I291" s="35"/>
      <c r="K291" s="35"/>
      <c r="L291" s="35"/>
      <c r="N291" s="41"/>
      <c r="O291" s="41"/>
      <c r="P291" s="41"/>
      <c r="Q291" s="41"/>
      <c r="R291" s="41"/>
    </row>
    <row r="292">
      <c r="C292" s="35"/>
      <c r="E292" s="35"/>
      <c r="G292" s="35"/>
      <c r="I292" s="35"/>
      <c r="K292" s="35"/>
      <c r="L292" s="35"/>
      <c r="N292" s="41"/>
      <c r="O292" s="41"/>
      <c r="P292" s="41"/>
      <c r="Q292" s="41"/>
      <c r="R292" s="41"/>
    </row>
    <row r="293">
      <c r="C293" s="35"/>
      <c r="E293" s="35"/>
      <c r="G293" s="35"/>
      <c r="I293" s="35"/>
      <c r="K293" s="35"/>
      <c r="L293" s="35"/>
      <c r="N293" s="41"/>
      <c r="O293" s="41"/>
      <c r="P293" s="41"/>
      <c r="Q293" s="41"/>
      <c r="R293" s="41"/>
    </row>
    <row r="294">
      <c r="C294" s="35"/>
      <c r="E294" s="35"/>
      <c r="G294" s="35"/>
      <c r="I294" s="35"/>
      <c r="K294" s="35"/>
      <c r="L294" s="35"/>
      <c r="N294" s="41"/>
      <c r="O294" s="41"/>
      <c r="P294" s="41"/>
      <c r="Q294" s="41"/>
      <c r="R294" s="41"/>
    </row>
    <row r="295">
      <c r="C295" s="35"/>
      <c r="E295" s="35"/>
      <c r="G295" s="35"/>
      <c r="I295" s="35"/>
      <c r="K295" s="35"/>
      <c r="L295" s="35"/>
      <c r="N295" s="41"/>
      <c r="O295" s="41"/>
      <c r="P295" s="41"/>
      <c r="Q295" s="41"/>
      <c r="R295" s="41"/>
    </row>
    <row r="296">
      <c r="C296" s="35"/>
      <c r="E296" s="35"/>
      <c r="G296" s="35"/>
      <c r="I296" s="35"/>
      <c r="K296" s="35"/>
      <c r="L296" s="35"/>
      <c r="N296" s="41"/>
      <c r="O296" s="41"/>
      <c r="P296" s="41"/>
      <c r="Q296" s="41"/>
      <c r="R296" s="41"/>
    </row>
    <row r="297">
      <c r="C297" s="35"/>
      <c r="E297" s="35"/>
      <c r="G297" s="35"/>
      <c r="I297" s="35"/>
      <c r="K297" s="35"/>
      <c r="L297" s="35"/>
      <c r="N297" s="41"/>
      <c r="O297" s="41"/>
      <c r="P297" s="41"/>
      <c r="Q297" s="41"/>
      <c r="R297" s="41"/>
    </row>
    <row r="298">
      <c r="C298" s="35"/>
      <c r="E298" s="35"/>
      <c r="G298" s="35"/>
      <c r="I298" s="35"/>
      <c r="K298" s="35"/>
      <c r="L298" s="35"/>
      <c r="N298" s="41"/>
      <c r="O298" s="41"/>
      <c r="P298" s="41"/>
      <c r="Q298" s="41"/>
      <c r="R298" s="41"/>
    </row>
    <row r="299">
      <c r="C299" s="35"/>
      <c r="E299" s="35"/>
      <c r="G299" s="35"/>
      <c r="I299" s="35"/>
      <c r="K299" s="35"/>
      <c r="L299" s="35"/>
      <c r="N299" s="41"/>
      <c r="O299" s="41"/>
      <c r="P299" s="41"/>
      <c r="Q299" s="41"/>
      <c r="R299" s="41"/>
    </row>
    <row r="300">
      <c r="C300" s="35"/>
      <c r="E300" s="35"/>
      <c r="G300" s="35"/>
      <c r="I300" s="35"/>
      <c r="K300" s="35"/>
      <c r="L300" s="35"/>
      <c r="N300" s="41"/>
      <c r="O300" s="41"/>
      <c r="P300" s="41"/>
      <c r="Q300" s="41"/>
      <c r="R300" s="41"/>
    </row>
    <row r="301">
      <c r="C301" s="35"/>
      <c r="E301" s="35"/>
      <c r="G301" s="35"/>
      <c r="I301" s="35"/>
      <c r="K301" s="35"/>
      <c r="L301" s="35"/>
      <c r="N301" s="41"/>
      <c r="O301" s="41"/>
      <c r="P301" s="41"/>
      <c r="Q301" s="41"/>
      <c r="R301" s="41"/>
    </row>
    <row r="302">
      <c r="C302" s="35"/>
      <c r="E302" s="35"/>
      <c r="G302" s="35"/>
      <c r="I302" s="35"/>
      <c r="K302" s="35"/>
      <c r="L302" s="35"/>
      <c r="N302" s="41"/>
      <c r="O302" s="41"/>
      <c r="P302" s="41"/>
      <c r="Q302" s="41"/>
      <c r="R302" s="41"/>
    </row>
    <row r="303">
      <c r="C303" s="35"/>
      <c r="E303" s="35"/>
      <c r="G303" s="35"/>
      <c r="I303" s="35"/>
      <c r="K303" s="35"/>
      <c r="L303" s="35"/>
      <c r="N303" s="41"/>
      <c r="O303" s="41"/>
      <c r="P303" s="41"/>
      <c r="Q303" s="41"/>
      <c r="R303" s="41"/>
    </row>
    <row r="304">
      <c r="C304" s="35"/>
      <c r="E304" s="35"/>
      <c r="G304" s="35"/>
      <c r="I304" s="35"/>
      <c r="K304" s="35"/>
      <c r="L304" s="35"/>
      <c r="N304" s="41"/>
      <c r="O304" s="41"/>
      <c r="P304" s="41"/>
      <c r="Q304" s="41"/>
      <c r="R304" s="41"/>
    </row>
    <row r="305">
      <c r="C305" s="35"/>
      <c r="E305" s="35"/>
      <c r="G305" s="35"/>
      <c r="I305" s="35"/>
      <c r="K305" s="35"/>
      <c r="L305" s="35"/>
      <c r="N305" s="41"/>
      <c r="O305" s="41"/>
      <c r="P305" s="41"/>
      <c r="Q305" s="41"/>
      <c r="R305" s="41"/>
    </row>
    <row r="306">
      <c r="C306" s="35"/>
      <c r="E306" s="35"/>
      <c r="G306" s="35"/>
      <c r="I306" s="35"/>
      <c r="K306" s="35"/>
      <c r="L306" s="35"/>
      <c r="N306" s="41"/>
      <c r="O306" s="41"/>
      <c r="P306" s="41"/>
      <c r="Q306" s="41"/>
      <c r="R306" s="41"/>
    </row>
    <row r="307">
      <c r="C307" s="35"/>
      <c r="E307" s="35"/>
      <c r="G307" s="35"/>
      <c r="I307" s="35"/>
      <c r="K307" s="35"/>
      <c r="L307" s="35"/>
      <c r="N307" s="41"/>
      <c r="O307" s="41"/>
      <c r="P307" s="41"/>
      <c r="Q307" s="41"/>
      <c r="R307" s="41"/>
    </row>
    <row r="308">
      <c r="C308" s="35"/>
      <c r="E308" s="35"/>
      <c r="G308" s="35"/>
      <c r="I308" s="35"/>
      <c r="K308" s="35"/>
      <c r="L308" s="35"/>
      <c r="N308" s="41"/>
      <c r="O308" s="41"/>
      <c r="P308" s="41"/>
      <c r="Q308" s="41"/>
      <c r="R308" s="41"/>
    </row>
    <row r="309">
      <c r="C309" s="35"/>
      <c r="E309" s="35"/>
      <c r="G309" s="35"/>
      <c r="I309" s="35"/>
      <c r="K309" s="35"/>
      <c r="L309" s="35"/>
      <c r="N309" s="41"/>
      <c r="O309" s="41"/>
      <c r="P309" s="41"/>
      <c r="Q309" s="41"/>
      <c r="R309" s="41"/>
    </row>
    <row r="310">
      <c r="C310" s="35"/>
      <c r="E310" s="35"/>
      <c r="G310" s="35"/>
      <c r="I310" s="35"/>
      <c r="K310" s="35"/>
      <c r="L310" s="35"/>
      <c r="N310" s="41"/>
      <c r="O310" s="41"/>
      <c r="P310" s="41"/>
      <c r="Q310" s="41"/>
      <c r="R310" s="41"/>
    </row>
    <row r="311">
      <c r="C311" s="35"/>
      <c r="E311" s="35"/>
      <c r="G311" s="35"/>
      <c r="I311" s="35"/>
      <c r="K311" s="35"/>
      <c r="L311" s="35"/>
      <c r="N311" s="41"/>
      <c r="O311" s="41"/>
      <c r="P311" s="41"/>
      <c r="Q311" s="41"/>
      <c r="R311" s="41"/>
    </row>
    <row r="312">
      <c r="C312" s="35"/>
      <c r="E312" s="35"/>
      <c r="G312" s="35"/>
      <c r="I312" s="35"/>
      <c r="K312" s="35"/>
      <c r="L312" s="35"/>
      <c r="N312" s="41"/>
      <c r="O312" s="41"/>
      <c r="P312" s="41"/>
      <c r="Q312" s="41"/>
      <c r="R312" s="41"/>
    </row>
    <row r="313">
      <c r="C313" s="35"/>
      <c r="E313" s="35"/>
      <c r="G313" s="35"/>
      <c r="I313" s="35"/>
      <c r="K313" s="35"/>
      <c r="L313" s="35"/>
      <c r="N313" s="41"/>
      <c r="O313" s="41"/>
      <c r="P313" s="41"/>
      <c r="Q313" s="41"/>
      <c r="R313" s="41"/>
    </row>
    <row r="314">
      <c r="C314" s="35"/>
      <c r="E314" s="35"/>
      <c r="G314" s="35"/>
      <c r="I314" s="35"/>
      <c r="K314" s="35"/>
      <c r="L314" s="35"/>
      <c r="N314" s="41"/>
      <c r="O314" s="41"/>
      <c r="P314" s="41"/>
      <c r="Q314" s="41"/>
      <c r="R314" s="41"/>
    </row>
    <row r="315">
      <c r="C315" s="35"/>
      <c r="E315" s="35"/>
      <c r="G315" s="35"/>
      <c r="I315" s="35"/>
      <c r="K315" s="35"/>
      <c r="L315" s="35"/>
      <c r="N315" s="41"/>
      <c r="O315" s="41"/>
      <c r="P315" s="41"/>
      <c r="Q315" s="41"/>
      <c r="R315" s="41"/>
    </row>
    <row r="316">
      <c r="C316" s="35"/>
      <c r="E316" s="35"/>
      <c r="G316" s="35"/>
      <c r="I316" s="35"/>
      <c r="K316" s="35"/>
      <c r="L316" s="35"/>
      <c r="N316" s="41"/>
      <c r="O316" s="41"/>
      <c r="P316" s="41"/>
      <c r="Q316" s="41"/>
      <c r="R316" s="41"/>
    </row>
    <row r="317">
      <c r="C317" s="35"/>
      <c r="E317" s="35"/>
      <c r="G317" s="35"/>
      <c r="I317" s="35"/>
      <c r="K317" s="35"/>
      <c r="L317" s="35"/>
      <c r="N317" s="41"/>
      <c r="O317" s="41"/>
      <c r="P317" s="41"/>
      <c r="Q317" s="41"/>
      <c r="R317" s="41"/>
    </row>
    <row r="318">
      <c r="C318" s="35"/>
      <c r="E318" s="35"/>
      <c r="G318" s="35"/>
      <c r="I318" s="35"/>
      <c r="K318" s="35"/>
      <c r="L318" s="35"/>
      <c r="N318" s="41"/>
      <c r="O318" s="41"/>
      <c r="P318" s="41"/>
      <c r="Q318" s="41"/>
      <c r="R318" s="41"/>
    </row>
    <row r="319">
      <c r="C319" s="35"/>
      <c r="E319" s="35"/>
      <c r="G319" s="35"/>
      <c r="I319" s="35"/>
      <c r="K319" s="35"/>
      <c r="L319" s="35"/>
      <c r="N319" s="41"/>
      <c r="O319" s="41"/>
      <c r="P319" s="41"/>
      <c r="Q319" s="41"/>
      <c r="R319" s="41"/>
    </row>
    <row r="320">
      <c r="C320" s="35"/>
      <c r="E320" s="35"/>
      <c r="G320" s="35"/>
      <c r="I320" s="35"/>
      <c r="K320" s="35"/>
      <c r="L320" s="35"/>
      <c r="N320" s="41"/>
      <c r="O320" s="41"/>
      <c r="P320" s="41"/>
      <c r="Q320" s="41"/>
      <c r="R320" s="41"/>
    </row>
    <row r="321">
      <c r="C321" s="35"/>
      <c r="E321" s="35"/>
      <c r="G321" s="35"/>
      <c r="I321" s="35"/>
      <c r="K321" s="35"/>
      <c r="L321" s="35"/>
      <c r="N321" s="41"/>
      <c r="O321" s="41"/>
      <c r="P321" s="41"/>
      <c r="Q321" s="41"/>
      <c r="R321" s="41"/>
    </row>
    <row r="322">
      <c r="C322" s="35"/>
      <c r="E322" s="35"/>
      <c r="G322" s="35"/>
      <c r="I322" s="35"/>
      <c r="K322" s="35"/>
      <c r="L322" s="35"/>
      <c r="N322" s="41"/>
      <c r="O322" s="41"/>
      <c r="P322" s="41"/>
      <c r="Q322" s="41"/>
      <c r="R322" s="41"/>
    </row>
    <row r="323">
      <c r="C323" s="35"/>
      <c r="E323" s="35"/>
      <c r="G323" s="35"/>
      <c r="I323" s="35"/>
      <c r="K323" s="35"/>
      <c r="L323" s="35"/>
      <c r="N323" s="41"/>
      <c r="O323" s="41"/>
      <c r="P323" s="41"/>
      <c r="Q323" s="41"/>
      <c r="R323" s="41"/>
    </row>
    <row r="324">
      <c r="C324" s="35"/>
      <c r="E324" s="35"/>
      <c r="G324" s="35"/>
      <c r="I324" s="35"/>
      <c r="K324" s="35"/>
      <c r="L324" s="35"/>
      <c r="N324" s="41"/>
      <c r="O324" s="41"/>
      <c r="P324" s="41"/>
      <c r="Q324" s="41"/>
      <c r="R324" s="41"/>
    </row>
    <row r="325">
      <c r="C325" s="35"/>
      <c r="E325" s="35"/>
      <c r="G325" s="35"/>
      <c r="I325" s="35"/>
      <c r="K325" s="35"/>
      <c r="L325" s="35"/>
      <c r="N325" s="41"/>
      <c r="O325" s="41"/>
      <c r="P325" s="41"/>
      <c r="Q325" s="41"/>
      <c r="R325" s="41"/>
    </row>
    <row r="326">
      <c r="C326" s="35"/>
      <c r="E326" s="35"/>
      <c r="G326" s="35"/>
      <c r="I326" s="35"/>
      <c r="K326" s="35"/>
      <c r="L326" s="35"/>
      <c r="N326" s="41"/>
      <c r="O326" s="41"/>
      <c r="P326" s="41"/>
      <c r="Q326" s="41"/>
      <c r="R326" s="41"/>
    </row>
    <row r="327">
      <c r="C327" s="35"/>
      <c r="E327" s="35"/>
      <c r="G327" s="35"/>
      <c r="I327" s="35"/>
      <c r="K327" s="35"/>
      <c r="L327" s="35"/>
      <c r="N327" s="41"/>
      <c r="O327" s="41"/>
      <c r="P327" s="41"/>
      <c r="Q327" s="41"/>
      <c r="R327" s="41"/>
    </row>
    <row r="328">
      <c r="C328" s="35"/>
      <c r="E328" s="35"/>
      <c r="G328" s="35"/>
      <c r="I328" s="35"/>
      <c r="K328" s="35"/>
      <c r="L328" s="35"/>
      <c r="N328" s="41"/>
      <c r="O328" s="41"/>
      <c r="P328" s="41"/>
      <c r="Q328" s="41"/>
      <c r="R328" s="41"/>
    </row>
    <row r="329">
      <c r="C329" s="35"/>
      <c r="E329" s="35"/>
      <c r="G329" s="35"/>
      <c r="I329" s="35"/>
      <c r="K329" s="35"/>
      <c r="L329" s="35"/>
      <c r="N329" s="41"/>
      <c r="O329" s="41"/>
      <c r="P329" s="41"/>
      <c r="Q329" s="41"/>
      <c r="R329" s="41"/>
    </row>
    <row r="330">
      <c r="C330" s="35"/>
      <c r="E330" s="35"/>
      <c r="G330" s="35"/>
      <c r="I330" s="35"/>
      <c r="K330" s="35"/>
      <c r="L330" s="35"/>
      <c r="N330" s="41"/>
      <c r="O330" s="41"/>
      <c r="P330" s="41"/>
      <c r="Q330" s="41"/>
      <c r="R330" s="41"/>
    </row>
    <row r="331">
      <c r="C331" s="35"/>
      <c r="E331" s="35"/>
      <c r="G331" s="35"/>
      <c r="I331" s="35"/>
      <c r="K331" s="35"/>
      <c r="L331" s="35"/>
      <c r="N331" s="41"/>
      <c r="O331" s="41"/>
      <c r="P331" s="41"/>
      <c r="Q331" s="41"/>
      <c r="R331" s="41"/>
    </row>
    <row r="332">
      <c r="C332" s="35"/>
      <c r="E332" s="35"/>
      <c r="G332" s="35"/>
      <c r="I332" s="35"/>
      <c r="K332" s="35"/>
      <c r="L332" s="35"/>
      <c r="N332" s="41"/>
      <c r="O332" s="41"/>
      <c r="P332" s="41"/>
      <c r="Q332" s="41"/>
      <c r="R332" s="41"/>
    </row>
    <row r="333">
      <c r="C333" s="35"/>
      <c r="E333" s="35"/>
      <c r="G333" s="35"/>
      <c r="I333" s="35"/>
      <c r="K333" s="35"/>
      <c r="L333" s="35"/>
      <c r="N333" s="41"/>
      <c r="O333" s="41"/>
      <c r="P333" s="41"/>
      <c r="Q333" s="41"/>
      <c r="R333" s="41"/>
    </row>
    <row r="334">
      <c r="C334" s="35"/>
      <c r="E334" s="35"/>
      <c r="G334" s="35"/>
      <c r="I334" s="35"/>
      <c r="K334" s="35"/>
      <c r="L334" s="35"/>
      <c r="N334" s="41"/>
      <c r="O334" s="41"/>
      <c r="P334" s="41"/>
      <c r="Q334" s="41"/>
      <c r="R334" s="41"/>
    </row>
    <row r="335">
      <c r="C335" s="35"/>
      <c r="E335" s="35"/>
      <c r="G335" s="35"/>
      <c r="I335" s="35"/>
      <c r="K335" s="35"/>
      <c r="L335" s="35"/>
      <c r="N335" s="41"/>
      <c r="O335" s="41"/>
      <c r="P335" s="41"/>
      <c r="Q335" s="41"/>
      <c r="R335" s="41"/>
    </row>
    <row r="336">
      <c r="C336" s="35"/>
      <c r="E336" s="35"/>
      <c r="G336" s="35"/>
      <c r="I336" s="35"/>
      <c r="K336" s="35"/>
      <c r="L336" s="35"/>
      <c r="N336" s="41"/>
      <c r="O336" s="41"/>
      <c r="P336" s="41"/>
      <c r="Q336" s="41"/>
      <c r="R336" s="41"/>
    </row>
    <row r="337">
      <c r="C337" s="35"/>
      <c r="E337" s="35"/>
      <c r="G337" s="35"/>
      <c r="I337" s="35"/>
      <c r="K337" s="35"/>
      <c r="L337" s="35"/>
      <c r="N337" s="41"/>
      <c r="O337" s="41"/>
      <c r="P337" s="41"/>
      <c r="Q337" s="41"/>
      <c r="R337" s="41"/>
    </row>
    <row r="338">
      <c r="C338" s="35"/>
      <c r="E338" s="35"/>
      <c r="G338" s="35"/>
      <c r="I338" s="35"/>
      <c r="K338" s="35"/>
      <c r="L338" s="35"/>
      <c r="N338" s="41"/>
      <c r="O338" s="41"/>
      <c r="P338" s="41"/>
      <c r="Q338" s="41"/>
      <c r="R338" s="41"/>
    </row>
    <row r="339">
      <c r="C339" s="35"/>
      <c r="E339" s="35"/>
      <c r="G339" s="35"/>
      <c r="I339" s="35"/>
      <c r="K339" s="35"/>
      <c r="L339" s="35"/>
      <c r="N339" s="41"/>
      <c r="O339" s="41"/>
      <c r="P339" s="41"/>
      <c r="Q339" s="41"/>
      <c r="R339" s="41"/>
    </row>
    <row r="340">
      <c r="C340" s="35"/>
      <c r="E340" s="35"/>
      <c r="G340" s="35"/>
      <c r="I340" s="35"/>
      <c r="K340" s="35"/>
      <c r="L340" s="35"/>
      <c r="N340" s="41"/>
      <c r="O340" s="41"/>
      <c r="P340" s="41"/>
      <c r="Q340" s="41"/>
      <c r="R340" s="41"/>
    </row>
    <row r="341">
      <c r="C341" s="35"/>
      <c r="E341" s="35"/>
      <c r="G341" s="35"/>
      <c r="I341" s="35"/>
      <c r="K341" s="35"/>
      <c r="L341" s="35"/>
      <c r="N341" s="41"/>
      <c r="O341" s="41"/>
      <c r="P341" s="41"/>
      <c r="Q341" s="41"/>
      <c r="R341" s="41"/>
    </row>
    <row r="342">
      <c r="C342" s="35"/>
      <c r="E342" s="35"/>
      <c r="G342" s="35"/>
      <c r="I342" s="35"/>
      <c r="K342" s="35"/>
      <c r="L342" s="35"/>
      <c r="N342" s="41"/>
      <c r="O342" s="41"/>
      <c r="P342" s="41"/>
      <c r="Q342" s="41"/>
      <c r="R342" s="41"/>
    </row>
    <row r="343">
      <c r="C343" s="35"/>
      <c r="E343" s="35"/>
      <c r="G343" s="35"/>
      <c r="I343" s="35"/>
      <c r="K343" s="35"/>
      <c r="L343" s="35"/>
      <c r="N343" s="41"/>
      <c r="O343" s="41"/>
      <c r="P343" s="41"/>
      <c r="Q343" s="41"/>
      <c r="R343" s="41"/>
    </row>
    <row r="344">
      <c r="C344" s="35"/>
      <c r="E344" s="35"/>
      <c r="G344" s="35"/>
      <c r="I344" s="35"/>
      <c r="K344" s="35"/>
      <c r="L344" s="35"/>
      <c r="N344" s="41"/>
      <c r="O344" s="41"/>
      <c r="P344" s="41"/>
      <c r="Q344" s="41"/>
      <c r="R344" s="41"/>
    </row>
    <row r="345">
      <c r="C345" s="35"/>
      <c r="E345" s="35"/>
      <c r="G345" s="35"/>
      <c r="I345" s="35"/>
      <c r="K345" s="35"/>
      <c r="L345" s="35"/>
      <c r="N345" s="41"/>
      <c r="O345" s="41"/>
      <c r="P345" s="41"/>
      <c r="Q345" s="41"/>
      <c r="R345" s="41"/>
    </row>
    <row r="346">
      <c r="C346" s="35"/>
      <c r="E346" s="35"/>
      <c r="G346" s="35"/>
      <c r="I346" s="35"/>
      <c r="K346" s="35"/>
      <c r="L346" s="35"/>
      <c r="N346" s="41"/>
      <c r="O346" s="41"/>
      <c r="P346" s="41"/>
      <c r="Q346" s="41"/>
      <c r="R346" s="41"/>
    </row>
    <row r="347">
      <c r="C347" s="35"/>
      <c r="E347" s="35"/>
      <c r="G347" s="35"/>
      <c r="I347" s="35"/>
      <c r="K347" s="35"/>
      <c r="L347" s="35"/>
      <c r="N347" s="41"/>
      <c r="O347" s="41"/>
      <c r="P347" s="41"/>
      <c r="Q347" s="41"/>
      <c r="R347" s="41"/>
    </row>
    <row r="348">
      <c r="C348" s="35"/>
      <c r="E348" s="35"/>
      <c r="G348" s="35"/>
      <c r="I348" s="35"/>
      <c r="K348" s="35"/>
      <c r="L348" s="35"/>
      <c r="N348" s="41"/>
      <c r="O348" s="41"/>
      <c r="P348" s="41"/>
      <c r="Q348" s="41"/>
      <c r="R348" s="41"/>
    </row>
    <row r="349">
      <c r="C349" s="35"/>
      <c r="E349" s="35"/>
      <c r="G349" s="35"/>
      <c r="I349" s="35"/>
      <c r="K349" s="35"/>
      <c r="L349" s="35"/>
      <c r="N349" s="41"/>
      <c r="O349" s="41"/>
      <c r="P349" s="41"/>
      <c r="Q349" s="41"/>
      <c r="R349" s="41"/>
    </row>
    <row r="350">
      <c r="C350" s="35"/>
      <c r="E350" s="35"/>
      <c r="G350" s="35"/>
      <c r="I350" s="35"/>
      <c r="K350" s="35"/>
      <c r="L350" s="35"/>
      <c r="N350" s="41"/>
      <c r="O350" s="41"/>
      <c r="P350" s="41"/>
      <c r="Q350" s="41"/>
      <c r="R350" s="41"/>
    </row>
    <row r="351">
      <c r="C351" s="35"/>
      <c r="E351" s="35"/>
      <c r="G351" s="35"/>
      <c r="I351" s="35"/>
      <c r="K351" s="35"/>
      <c r="L351" s="35"/>
      <c r="N351" s="41"/>
      <c r="O351" s="41"/>
      <c r="P351" s="41"/>
      <c r="Q351" s="41"/>
      <c r="R351" s="41"/>
    </row>
    <row r="352">
      <c r="C352" s="35"/>
      <c r="E352" s="35"/>
      <c r="G352" s="35"/>
      <c r="I352" s="35"/>
      <c r="K352" s="35"/>
      <c r="L352" s="35"/>
      <c r="N352" s="41"/>
      <c r="O352" s="41"/>
      <c r="P352" s="41"/>
      <c r="Q352" s="41"/>
      <c r="R352" s="41"/>
    </row>
    <row r="353">
      <c r="C353" s="35"/>
      <c r="E353" s="35"/>
      <c r="G353" s="35"/>
      <c r="I353" s="35"/>
      <c r="K353" s="35"/>
      <c r="L353" s="35"/>
      <c r="N353" s="41"/>
      <c r="O353" s="41"/>
      <c r="P353" s="41"/>
      <c r="Q353" s="41"/>
      <c r="R353" s="41"/>
    </row>
    <row r="354">
      <c r="C354" s="35"/>
      <c r="E354" s="35"/>
      <c r="G354" s="35"/>
      <c r="I354" s="35"/>
      <c r="K354" s="35"/>
      <c r="L354" s="35"/>
      <c r="N354" s="41"/>
      <c r="O354" s="41"/>
      <c r="P354" s="41"/>
      <c r="Q354" s="41"/>
      <c r="R354" s="41"/>
    </row>
    <row r="355">
      <c r="C355" s="35"/>
      <c r="E355" s="35"/>
      <c r="G355" s="35"/>
      <c r="I355" s="35"/>
      <c r="K355" s="35"/>
      <c r="L355" s="35"/>
      <c r="N355" s="41"/>
      <c r="O355" s="41"/>
      <c r="P355" s="41"/>
      <c r="Q355" s="41"/>
      <c r="R355" s="41"/>
    </row>
    <row r="356">
      <c r="C356" s="35"/>
      <c r="E356" s="35"/>
      <c r="G356" s="35"/>
      <c r="I356" s="35"/>
      <c r="K356" s="35"/>
      <c r="L356" s="35"/>
      <c r="N356" s="41"/>
      <c r="O356" s="41"/>
      <c r="P356" s="41"/>
      <c r="Q356" s="41"/>
      <c r="R356" s="41"/>
    </row>
    <row r="357">
      <c r="C357" s="35"/>
      <c r="E357" s="35"/>
      <c r="G357" s="35"/>
      <c r="I357" s="35"/>
      <c r="K357" s="35"/>
      <c r="L357" s="35"/>
      <c r="N357" s="41"/>
      <c r="O357" s="41"/>
      <c r="P357" s="41"/>
      <c r="Q357" s="41"/>
      <c r="R357" s="41"/>
    </row>
    <row r="358">
      <c r="C358" s="35"/>
      <c r="E358" s="35"/>
      <c r="G358" s="35"/>
      <c r="I358" s="35"/>
      <c r="K358" s="35"/>
      <c r="L358" s="35"/>
      <c r="N358" s="41"/>
      <c r="O358" s="41"/>
      <c r="P358" s="41"/>
      <c r="Q358" s="41"/>
      <c r="R358" s="41"/>
    </row>
    <row r="359">
      <c r="C359" s="35"/>
      <c r="E359" s="35"/>
      <c r="G359" s="35"/>
      <c r="I359" s="35"/>
      <c r="K359" s="35"/>
      <c r="L359" s="35"/>
      <c r="N359" s="41"/>
      <c r="O359" s="41"/>
      <c r="P359" s="41"/>
      <c r="Q359" s="41"/>
      <c r="R359" s="41"/>
    </row>
    <row r="360">
      <c r="C360" s="35"/>
      <c r="E360" s="35"/>
      <c r="G360" s="35"/>
      <c r="I360" s="35"/>
      <c r="K360" s="35"/>
      <c r="L360" s="35"/>
      <c r="N360" s="41"/>
      <c r="O360" s="41"/>
      <c r="P360" s="41"/>
      <c r="Q360" s="41"/>
      <c r="R360" s="41"/>
    </row>
    <row r="361">
      <c r="C361" s="35"/>
      <c r="E361" s="35"/>
      <c r="G361" s="35"/>
      <c r="I361" s="35"/>
      <c r="K361" s="35"/>
      <c r="L361" s="35"/>
      <c r="N361" s="41"/>
      <c r="O361" s="41"/>
      <c r="P361" s="41"/>
      <c r="Q361" s="41"/>
      <c r="R361" s="41"/>
    </row>
    <row r="362">
      <c r="C362" s="35"/>
      <c r="E362" s="35"/>
      <c r="G362" s="35"/>
      <c r="I362" s="35"/>
      <c r="K362" s="35"/>
      <c r="L362" s="35"/>
      <c r="N362" s="41"/>
      <c r="O362" s="41"/>
      <c r="P362" s="41"/>
      <c r="Q362" s="41"/>
      <c r="R362" s="41"/>
    </row>
    <row r="363">
      <c r="C363" s="35"/>
      <c r="E363" s="35"/>
      <c r="G363" s="35"/>
      <c r="I363" s="35"/>
      <c r="K363" s="35"/>
      <c r="L363" s="35"/>
      <c r="N363" s="41"/>
      <c r="O363" s="41"/>
      <c r="P363" s="41"/>
      <c r="Q363" s="41"/>
      <c r="R363" s="41"/>
    </row>
    <row r="364">
      <c r="C364" s="35"/>
      <c r="E364" s="35"/>
      <c r="G364" s="35"/>
      <c r="I364" s="35"/>
      <c r="K364" s="35"/>
      <c r="L364" s="35"/>
      <c r="N364" s="41"/>
      <c r="O364" s="41"/>
      <c r="P364" s="41"/>
      <c r="Q364" s="41"/>
      <c r="R364" s="41"/>
    </row>
    <row r="365">
      <c r="C365" s="35"/>
      <c r="E365" s="35"/>
      <c r="G365" s="35"/>
      <c r="I365" s="35"/>
      <c r="K365" s="35"/>
      <c r="L365" s="35"/>
      <c r="N365" s="41"/>
      <c r="O365" s="41"/>
      <c r="P365" s="41"/>
      <c r="Q365" s="41"/>
      <c r="R365" s="41"/>
    </row>
    <row r="366">
      <c r="C366" s="35"/>
      <c r="E366" s="35"/>
      <c r="G366" s="35"/>
      <c r="I366" s="35"/>
      <c r="K366" s="35"/>
      <c r="L366" s="35"/>
      <c r="N366" s="41"/>
      <c r="O366" s="41"/>
      <c r="P366" s="41"/>
      <c r="Q366" s="41"/>
      <c r="R366" s="41"/>
    </row>
    <row r="367">
      <c r="C367" s="35"/>
      <c r="E367" s="35"/>
      <c r="G367" s="35"/>
      <c r="I367" s="35"/>
      <c r="K367" s="35"/>
      <c r="L367" s="35"/>
      <c r="N367" s="41"/>
      <c r="O367" s="41"/>
      <c r="P367" s="41"/>
      <c r="Q367" s="41"/>
      <c r="R367" s="41"/>
    </row>
    <row r="368">
      <c r="C368" s="35"/>
      <c r="E368" s="35"/>
      <c r="G368" s="35"/>
      <c r="I368" s="35"/>
      <c r="K368" s="35"/>
      <c r="L368" s="35"/>
      <c r="N368" s="41"/>
      <c r="O368" s="41"/>
      <c r="P368" s="41"/>
      <c r="Q368" s="41"/>
      <c r="R368" s="41"/>
    </row>
    <row r="369">
      <c r="C369" s="35"/>
      <c r="E369" s="35"/>
      <c r="G369" s="35"/>
      <c r="I369" s="35"/>
      <c r="K369" s="35"/>
      <c r="L369" s="35"/>
      <c r="N369" s="41"/>
      <c r="O369" s="41"/>
      <c r="P369" s="41"/>
      <c r="Q369" s="41"/>
      <c r="R369" s="41"/>
    </row>
    <row r="370">
      <c r="C370" s="35"/>
      <c r="E370" s="35"/>
      <c r="G370" s="35"/>
      <c r="I370" s="35"/>
      <c r="K370" s="35"/>
      <c r="L370" s="35"/>
      <c r="N370" s="41"/>
      <c r="O370" s="41"/>
      <c r="P370" s="41"/>
      <c r="Q370" s="41"/>
      <c r="R370" s="41"/>
    </row>
    <row r="371">
      <c r="C371" s="35"/>
      <c r="E371" s="35"/>
      <c r="G371" s="35"/>
      <c r="I371" s="35"/>
      <c r="K371" s="35"/>
      <c r="L371" s="35"/>
      <c r="N371" s="41"/>
      <c r="O371" s="41"/>
      <c r="P371" s="41"/>
      <c r="Q371" s="41"/>
      <c r="R371" s="41"/>
    </row>
    <row r="372">
      <c r="C372" s="35"/>
      <c r="E372" s="35"/>
      <c r="G372" s="35"/>
      <c r="I372" s="35"/>
      <c r="K372" s="35"/>
      <c r="L372" s="35"/>
      <c r="N372" s="41"/>
      <c r="O372" s="41"/>
      <c r="P372" s="41"/>
      <c r="Q372" s="41"/>
      <c r="R372" s="41"/>
    </row>
    <row r="373">
      <c r="C373" s="35"/>
      <c r="E373" s="35"/>
      <c r="G373" s="35"/>
      <c r="I373" s="35"/>
      <c r="K373" s="35"/>
      <c r="L373" s="35"/>
      <c r="N373" s="41"/>
      <c r="O373" s="41"/>
      <c r="P373" s="41"/>
      <c r="Q373" s="41"/>
      <c r="R373" s="41"/>
    </row>
    <row r="374">
      <c r="C374" s="35"/>
      <c r="E374" s="35"/>
      <c r="G374" s="35"/>
      <c r="I374" s="35"/>
      <c r="K374" s="35"/>
      <c r="L374" s="35"/>
      <c r="N374" s="41"/>
      <c r="O374" s="41"/>
      <c r="P374" s="41"/>
      <c r="Q374" s="41"/>
      <c r="R374" s="41"/>
    </row>
    <row r="375">
      <c r="C375" s="35"/>
      <c r="E375" s="35"/>
      <c r="G375" s="35"/>
      <c r="I375" s="35"/>
      <c r="K375" s="35"/>
      <c r="L375" s="35"/>
      <c r="N375" s="41"/>
      <c r="O375" s="41"/>
      <c r="P375" s="41"/>
      <c r="Q375" s="41"/>
      <c r="R375" s="41"/>
    </row>
    <row r="376">
      <c r="C376" s="35"/>
      <c r="E376" s="35"/>
      <c r="G376" s="35"/>
      <c r="I376" s="35"/>
      <c r="K376" s="35"/>
      <c r="L376" s="35"/>
      <c r="N376" s="41"/>
      <c r="O376" s="41"/>
      <c r="P376" s="41"/>
      <c r="Q376" s="41"/>
      <c r="R376" s="41"/>
    </row>
    <row r="377">
      <c r="C377" s="35"/>
      <c r="E377" s="35"/>
      <c r="G377" s="35"/>
      <c r="I377" s="35"/>
      <c r="K377" s="35"/>
      <c r="L377" s="35"/>
      <c r="N377" s="41"/>
      <c r="O377" s="41"/>
      <c r="P377" s="41"/>
      <c r="Q377" s="41"/>
      <c r="R377" s="41"/>
    </row>
    <row r="378">
      <c r="C378" s="35"/>
      <c r="E378" s="35"/>
      <c r="G378" s="35"/>
      <c r="I378" s="35"/>
      <c r="K378" s="35"/>
      <c r="L378" s="35"/>
      <c r="N378" s="41"/>
      <c r="O378" s="41"/>
      <c r="P378" s="41"/>
      <c r="Q378" s="41"/>
      <c r="R378" s="41"/>
    </row>
    <row r="379">
      <c r="C379" s="35"/>
      <c r="E379" s="35"/>
      <c r="G379" s="35"/>
      <c r="I379" s="35"/>
      <c r="K379" s="35"/>
      <c r="L379" s="35"/>
      <c r="N379" s="41"/>
      <c r="O379" s="41"/>
      <c r="P379" s="41"/>
      <c r="Q379" s="41"/>
      <c r="R379" s="41"/>
    </row>
    <row r="380">
      <c r="C380" s="35"/>
      <c r="E380" s="35"/>
      <c r="G380" s="35"/>
      <c r="I380" s="35"/>
      <c r="K380" s="35"/>
      <c r="L380" s="35"/>
      <c r="N380" s="41"/>
      <c r="O380" s="41"/>
      <c r="P380" s="41"/>
      <c r="Q380" s="41"/>
      <c r="R380" s="41"/>
    </row>
    <row r="381">
      <c r="C381" s="35"/>
      <c r="E381" s="35"/>
      <c r="G381" s="35"/>
      <c r="I381" s="35"/>
      <c r="K381" s="35"/>
      <c r="L381" s="35"/>
      <c r="N381" s="41"/>
      <c r="O381" s="41"/>
      <c r="P381" s="41"/>
      <c r="Q381" s="41"/>
      <c r="R381" s="41"/>
    </row>
    <row r="382">
      <c r="C382" s="35"/>
      <c r="E382" s="35"/>
      <c r="G382" s="35"/>
      <c r="I382" s="35"/>
      <c r="K382" s="35"/>
      <c r="L382" s="35"/>
      <c r="N382" s="41"/>
      <c r="O382" s="41"/>
      <c r="P382" s="41"/>
      <c r="Q382" s="41"/>
      <c r="R382" s="41"/>
    </row>
    <row r="383">
      <c r="C383" s="35"/>
      <c r="E383" s="35"/>
      <c r="G383" s="35"/>
      <c r="I383" s="35"/>
      <c r="K383" s="35"/>
      <c r="L383" s="35"/>
      <c r="N383" s="41"/>
      <c r="O383" s="41"/>
      <c r="P383" s="41"/>
      <c r="Q383" s="41"/>
      <c r="R383" s="41"/>
    </row>
    <row r="384">
      <c r="C384" s="35"/>
      <c r="E384" s="35"/>
      <c r="G384" s="35"/>
      <c r="I384" s="35"/>
      <c r="K384" s="35"/>
      <c r="L384" s="35"/>
      <c r="N384" s="41"/>
      <c r="O384" s="41"/>
      <c r="P384" s="41"/>
      <c r="Q384" s="41"/>
      <c r="R384" s="41"/>
    </row>
    <row r="385">
      <c r="C385" s="35"/>
      <c r="E385" s="35"/>
      <c r="G385" s="35"/>
      <c r="I385" s="35"/>
      <c r="K385" s="35"/>
      <c r="L385" s="35"/>
      <c r="N385" s="41"/>
      <c r="O385" s="41"/>
      <c r="P385" s="41"/>
      <c r="Q385" s="41"/>
      <c r="R385" s="41"/>
    </row>
    <row r="386">
      <c r="C386" s="35"/>
      <c r="E386" s="35"/>
      <c r="G386" s="35"/>
      <c r="I386" s="35"/>
      <c r="K386" s="35"/>
      <c r="L386" s="35"/>
      <c r="N386" s="41"/>
      <c r="O386" s="41"/>
      <c r="P386" s="41"/>
      <c r="Q386" s="41"/>
      <c r="R386" s="41"/>
    </row>
    <row r="387">
      <c r="C387" s="35"/>
      <c r="E387" s="35"/>
      <c r="G387" s="35"/>
      <c r="I387" s="35"/>
      <c r="K387" s="35"/>
      <c r="L387" s="35"/>
      <c r="N387" s="41"/>
      <c r="O387" s="41"/>
      <c r="P387" s="41"/>
      <c r="Q387" s="41"/>
      <c r="R387" s="41"/>
    </row>
    <row r="388">
      <c r="C388" s="35"/>
      <c r="E388" s="35"/>
      <c r="G388" s="35"/>
      <c r="I388" s="35"/>
      <c r="K388" s="35"/>
      <c r="L388" s="35"/>
      <c r="N388" s="41"/>
      <c r="O388" s="41"/>
      <c r="P388" s="41"/>
      <c r="Q388" s="41"/>
      <c r="R388" s="41"/>
    </row>
    <row r="389">
      <c r="C389" s="35"/>
      <c r="E389" s="35"/>
      <c r="G389" s="35"/>
      <c r="I389" s="35"/>
      <c r="K389" s="35"/>
      <c r="L389" s="35"/>
      <c r="N389" s="41"/>
      <c r="O389" s="41"/>
      <c r="P389" s="41"/>
      <c r="Q389" s="41"/>
      <c r="R389" s="41"/>
    </row>
    <row r="390">
      <c r="C390" s="35"/>
      <c r="E390" s="35"/>
      <c r="G390" s="35"/>
      <c r="I390" s="35"/>
      <c r="K390" s="35"/>
      <c r="L390" s="35"/>
      <c r="N390" s="41"/>
      <c r="O390" s="41"/>
      <c r="P390" s="41"/>
      <c r="Q390" s="41"/>
      <c r="R390" s="41"/>
    </row>
    <row r="391">
      <c r="C391" s="35"/>
      <c r="E391" s="35"/>
      <c r="G391" s="35"/>
      <c r="I391" s="35"/>
      <c r="K391" s="35"/>
      <c r="L391" s="35"/>
      <c r="N391" s="41"/>
      <c r="O391" s="41"/>
      <c r="P391" s="41"/>
      <c r="Q391" s="41"/>
      <c r="R391" s="41"/>
    </row>
    <row r="392">
      <c r="C392" s="35"/>
      <c r="E392" s="35"/>
      <c r="G392" s="35"/>
      <c r="I392" s="35"/>
      <c r="K392" s="35"/>
      <c r="L392" s="35"/>
      <c r="N392" s="41"/>
      <c r="O392" s="41"/>
      <c r="P392" s="41"/>
      <c r="Q392" s="41"/>
      <c r="R392" s="41"/>
    </row>
    <row r="393">
      <c r="C393" s="35"/>
      <c r="E393" s="35"/>
      <c r="G393" s="35"/>
      <c r="I393" s="35"/>
      <c r="K393" s="35"/>
      <c r="L393" s="35"/>
      <c r="N393" s="41"/>
      <c r="O393" s="41"/>
      <c r="P393" s="41"/>
      <c r="Q393" s="41"/>
      <c r="R393" s="41"/>
    </row>
    <row r="394">
      <c r="C394" s="35"/>
      <c r="E394" s="35"/>
      <c r="G394" s="35"/>
      <c r="I394" s="35"/>
      <c r="K394" s="35"/>
      <c r="L394" s="35"/>
      <c r="N394" s="41"/>
      <c r="O394" s="41"/>
      <c r="P394" s="41"/>
      <c r="Q394" s="41"/>
      <c r="R394" s="41"/>
    </row>
    <row r="395">
      <c r="C395" s="35"/>
      <c r="E395" s="35"/>
      <c r="G395" s="35"/>
      <c r="I395" s="35"/>
      <c r="K395" s="35"/>
      <c r="L395" s="35"/>
      <c r="N395" s="41"/>
      <c r="O395" s="41"/>
      <c r="P395" s="41"/>
      <c r="Q395" s="41"/>
      <c r="R395" s="41"/>
    </row>
    <row r="396">
      <c r="C396" s="35"/>
      <c r="E396" s="35"/>
      <c r="G396" s="35"/>
      <c r="I396" s="35"/>
      <c r="K396" s="35"/>
      <c r="L396" s="35"/>
      <c r="N396" s="41"/>
      <c r="O396" s="41"/>
      <c r="P396" s="41"/>
      <c r="Q396" s="41"/>
      <c r="R396" s="41"/>
    </row>
    <row r="397">
      <c r="C397" s="35"/>
      <c r="E397" s="35"/>
      <c r="G397" s="35"/>
      <c r="I397" s="35"/>
      <c r="K397" s="35"/>
      <c r="L397" s="35"/>
      <c r="N397" s="41"/>
      <c r="O397" s="41"/>
      <c r="P397" s="41"/>
      <c r="Q397" s="41"/>
      <c r="R397" s="41"/>
    </row>
    <row r="398">
      <c r="C398" s="35"/>
      <c r="E398" s="35"/>
      <c r="G398" s="35"/>
      <c r="I398" s="35"/>
      <c r="K398" s="35"/>
      <c r="L398" s="35"/>
      <c r="N398" s="41"/>
      <c r="O398" s="41"/>
      <c r="P398" s="41"/>
      <c r="Q398" s="41"/>
      <c r="R398" s="41"/>
    </row>
    <row r="399">
      <c r="C399" s="35"/>
      <c r="E399" s="35"/>
      <c r="G399" s="35"/>
      <c r="I399" s="35"/>
      <c r="K399" s="35"/>
      <c r="L399" s="35"/>
      <c r="N399" s="41"/>
      <c r="O399" s="41"/>
      <c r="P399" s="41"/>
      <c r="Q399" s="41"/>
      <c r="R399" s="41"/>
    </row>
    <row r="400">
      <c r="C400" s="35"/>
      <c r="E400" s="35"/>
      <c r="G400" s="35"/>
      <c r="I400" s="35"/>
      <c r="K400" s="35"/>
      <c r="L400" s="35"/>
      <c r="N400" s="41"/>
      <c r="O400" s="41"/>
      <c r="P400" s="41"/>
      <c r="Q400" s="41"/>
      <c r="R400" s="41"/>
    </row>
    <row r="401">
      <c r="C401" s="35"/>
      <c r="E401" s="35"/>
      <c r="G401" s="35"/>
      <c r="I401" s="35"/>
      <c r="K401" s="35"/>
      <c r="L401" s="35"/>
      <c r="N401" s="41"/>
      <c r="O401" s="41"/>
      <c r="P401" s="41"/>
      <c r="Q401" s="41"/>
      <c r="R401" s="41"/>
    </row>
    <row r="402">
      <c r="C402" s="35"/>
      <c r="E402" s="35"/>
      <c r="G402" s="35"/>
      <c r="I402" s="35"/>
      <c r="K402" s="35"/>
      <c r="L402" s="35"/>
      <c r="N402" s="41"/>
      <c r="O402" s="41"/>
      <c r="P402" s="41"/>
      <c r="Q402" s="41"/>
      <c r="R402" s="41"/>
    </row>
    <row r="403">
      <c r="C403" s="35"/>
      <c r="E403" s="35"/>
      <c r="G403" s="35"/>
      <c r="I403" s="35"/>
      <c r="K403" s="35"/>
      <c r="L403" s="35"/>
      <c r="N403" s="41"/>
      <c r="O403" s="41"/>
      <c r="P403" s="41"/>
      <c r="Q403" s="41"/>
      <c r="R403" s="41"/>
    </row>
    <row r="404">
      <c r="C404" s="35"/>
      <c r="E404" s="35"/>
      <c r="G404" s="35"/>
      <c r="I404" s="35"/>
      <c r="K404" s="35"/>
      <c r="L404" s="35"/>
      <c r="N404" s="41"/>
      <c r="O404" s="41"/>
      <c r="P404" s="41"/>
      <c r="Q404" s="41"/>
      <c r="R404" s="41"/>
    </row>
    <row r="405">
      <c r="C405" s="35"/>
      <c r="E405" s="35"/>
      <c r="G405" s="35"/>
      <c r="I405" s="35"/>
      <c r="K405" s="35"/>
      <c r="L405" s="35"/>
      <c r="N405" s="41"/>
      <c r="O405" s="41"/>
      <c r="P405" s="41"/>
      <c r="Q405" s="41"/>
      <c r="R405" s="41"/>
    </row>
    <row r="406">
      <c r="C406" s="35"/>
      <c r="E406" s="35"/>
      <c r="G406" s="35"/>
      <c r="I406" s="35"/>
      <c r="K406" s="35"/>
      <c r="L406" s="35"/>
      <c r="N406" s="41"/>
      <c r="O406" s="41"/>
      <c r="P406" s="41"/>
      <c r="Q406" s="41"/>
      <c r="R406" s="41"/>
    </row>
    <row r="407">
      <c r="C407" s="35"/>
      <c r="E407" s="35"/>
      <c r="G407" s="35"/>
      <c r="I407" s="35"/>
      <c r="K407" s="35"/>
      <c r="L407" s="35"/>
      <c r="N407" s="41"/>
      <c r="O407" s="41"/>
      <c r="P407" s="41"/>
      <c r="Q407" s="41"/>
      <c r="R407" s="41"/>
    </row>
    <row r="408">
      <c r="C408" s="35"/>
      <c r="E408" s="35"/>
      <c r="G408" s="35"/>
      <c r="I408" s="35"/>
      <c r="K408" s="35"/>
      <c r="L408" s="35"/>
      <c r="N408" s="41"/>
      <c r="O408" s="41"/>
      <c r="P408" s="41"/>
      <c r="Q408" s="41"/>
      <c r="R408" s="41"/>
    </row>
    <row r="409">
      <c r="C409" s="35"/>
      <c r="E409" s="35"/>
      <c r="G409" s="35"/>
      <c r="I409" s="35"/>
      <c r="K409" s="35"/>
      <c r="L409" s="35"/>
      <c r="N409" s="41"/>
      <c r="O409" s="41"/>
      <c r="P409" s="41"/>
      <c r="Q409" s="41"/>
      <c r="R409" s="41"/>
    </row>
    <row r="410">
      <c r="C410" s="35"/>
      <c r="E410" s="35"/>
      <c r="G410" s="35"/>
      <c r="I410" s="35"/>
      <c r="K410" s="35"/>
      <c r="L410" s="35"/>
      <c r="N410" s="41"/>
      <c r="O410" s="41"/>
      <c r="P410" s="41"/>
      <c r="Q410" s="41"/>
      <c r="R410" s="41"/>
    </row>
    <row r="411">
      <c r="C411" s="35"/>
      <c r="E411" s="35"/>
      <c r="G411" s="35"/>
      <c r="I411" s="35"/>
      <c r="K411" s="35"/>
      <c r="L411" s="35"/>
      <c r="N411" s="41"/>
      <c r="O411" s="41"/>
      <c r="P411" s="41"/>
      <c r="Q411" s="41"/>
      <c r="R411" s="41"/>
    </row>
    <row r="412">
      <c r="C412" s="35"/>
      <c r="E412" s="35"/>
      <c r="G412" s="35"/>
      <c r="I412" s="35"/>
      <c r="K412" s="35"/>
      <c r="L412" s="35"/>
      <c r="N412" s="41"/>
      <c r="O412" s="41"/>
      <c r="P412" s="41"/>
      <c r="Q412" s="41"/>
      <c r="R412" s="41"/>
    </row>
    <row r="413">
      <c r="C413" s="35"/>
      <c r="E413" s="35"/>
      <c r="G413" s="35"/>
      <c r="I413" s="35"/>
      <c r="K413" s="35"/>
      <c r="L413" s="35"/>
      <c r="N413" s="41"/>
      <c r="O413" s="41"/>
      <c r="P413" s="41"/>
      <c r="Q413" s="41"/>
      <c r="R413" s="41"/>
    </row>
    <row r="414">
      <c r="C414" s="35"/>
      <c r="E414" s="35"/>
      <c r="G414" s="35"/>
      <c r="I414" s="35"/>
      <c r="K414" s="35"/>
      <c r="L414" s="35"/>
      <c r="N414" s="41"/>
      <c r="O414" s="41"/>
      <c r="P414" s="41"/>
      <c r="Q414" s="41"/>
      <c r="R414" s="41"/>
    </row>
    <row r="415">
      <c r="C415" s="35"/>
      <c r="E415" s="35"/>
      <c r="G415" s="35"/>
      <c r="I415" s="35"/>
      <c r="K415" s="35"/>
      <c r="L415" s="35"/>
      <c r="N415" s="41"/>
      <c r="O415" s="41"/>
      <c r="P415" s="41"/>
      <c r="Q415" s="41"/>
      <c r="R415" s="41"/>
    </row>
    <row r="416">
      <c r="C416" s="35"/>
      <c r="E416" s="35"/>
      <c r="G416" s="35"/>
      <c r="I416" s="35"/>
      <c r="K416" s="35"/>
      <c r="L416" s="35"/>
      <c r="N416" s="41"/>
      <c r="O416" s="41"/>
      <c r="P416" s="41"/>
      <c r="Q416" s="41"/>
      <c r="R416" s="41"/>
    </row>
    <row r="417">
      <c r="C417" s="35"/>
      <c r="E417" s="35"/>
      <c r="G417" s="35"/>
      <c r="I417" s="35"/>
      <c r="K417" s="35"/>
      <c r="L417" s="35"/>
      <c r="N417" s="41"/>
      <c r="O417" s="41"/>
      <c r="P417" s="41"/>
      <c r="Q417" s="41"/>
      <c r="R417" s="41"/>
    </row>
    <row r="418">
      <c r="C418" s="35"/>
      <c r="E418" s="35"/>
      <c r="G418" s="35"/>
      <c r="I418" s="35"/>
      <c r="K418" s="35"/>
      <c r="L418" s="35"/>
      <c r="N418" s="41"/>
      <c r="O418" s="41"/>
      <c r="P418" s="41"/>
      <c r="Q418" s="41"/>
      <c r="R418" s="41"/>
    </row>
    <row r="419">
      <c r="C419" s="35"/>
      <c r="E419" s="35"/>
      <c r="G419" s="35"/>
      <c r="I419" s="35"/>
      <c r="K419" s="35"/>
      <c r="L419" s="35"/>
      <c r="N419" s="41"/>
      <c r="O419" s="41"/>
      <c r="P419" s="41"/>
      <c r="Q419" s="41"/>
      <c r="R419" s="41"/>
    </row>
    <row r="420">
      <c r="C420" s="35"/>
      <c r="E420" s="35"/>
      <c r="G420" s="35"/>
      <c r="I420" s="35"/>
      <c r="K420" s="35"/>
      <c r="L420" s="35"/>
      <c r="N420" s="41"/>
      <c r="O420" s="41"/>
      <c r="P420" s="41"/>
      <c r="Q420" s="41"/>
      <c r="R420" s="41"/>
    </row>
    <row r="421">
      <c r="C421" s="35"/>
      <c r="E421" s="35"/>
      <c r="G421" s="35"/>
      <c r="I421" s="35"/>
      <c r="K421" s="35"/>
      <c r="L421" s="35"/>
      <c r="N421" s="41"/>
      <c r="O421" s="41"/>
      <c r="P421" s="41"/>
      <c r="Q421" s="41"/>
      <c r="R421" s="41"/>
    </row>
    <row r="422">
      <c r="C422" s="35"/>
      <c r="E422" s="35"/>
      <c r="G422" s="35"/>
      <c r="I422" s="35"/>
      <c r="K422" s="35"/>
      <c r="L422" s="35"/>
      <c r="N422" s="41"/>
      <c r="O422" s="41"/>
      <c r="P422" s="41"/>
      <c r="Q422" s="41"/>
      <c r="R422" s="41"/>
    </row>
    <row r="423">
      <c r="C423" s="35"/>
      <c r="E423" s="35"/>
      <c r="G423" s="35"/>
      <c r="I423" s="35"/>
      <c r="K423" s="35"/>
      <c r="L423" s="35"/>
      <c r="N423" s="41"/>
      <c r="O423" s="41"/>
      <c r="P423" s="41"/>
      <c r="Q423" s="41"/>
      <c r="R423" s="41"/>
    </row>
    <row r="424">
      <c r="C424" s="35"/>
      <c r="E424" s="35"/>
      <c r="G424" s="35"/>
      <c r="I424" s="35"/>
      <c r="K424" s="35"/>
      <c r="L424" s="35"/>
      <c r="N424" s="41"/>
      <c r="O424" s="41"/>
      <c r="P424" s="41"/>
      <c r="Q424" s="41"/>
      <c r="R424" s="41"/>
    </row>
    <row r="425">
      <c r="C425" s="35"/>
      <c r="E425" s="35"/>
      <c r="G425" s="35"/>
      <c r="I425" s="35"/>
      <c r="K425" s="35"/>
      <c r="L425" s="35"/>
      <c r="N425" s="41"/>
      <c r="O425" s="41"/>
      <c r="P425" s="41"/>
      <c r="Q425" s="41"/>
      <c r="R425" s="41"/>
    </row>
    <row r="426">
      <c r="C426" s="35"/>
      <c r="E426" s="35"/>
      <c r="G426" s="35"/>
      <c r="I426" s="35"/>
      <c r="K426" s="35"/>
      <c r="L426" s="35"/>
      <c r="N426" s="41"/>
      <c r="O426" s="41"/>
      <c r="P426" s="41"/>
      <c r="Q426" s="41"/>
      <c r="R426" s="41"/>
    </row>
    <row r="427">
      <c r="C427" s="35"/>
      <c r="E427" s="35"/>
      <c r="G427" s="35"/>
      <c r="I427" s="35"/>
      <c r="K427" s="35"/>
      <c r="L427" s="35"/>
      <c r="N427" s="41"/>
      <c r="O427" s="41"/>
      <c r="P427" s="41"/>
      <c r="Q427" s="41"/>
      <c r="R427" s="41"/>
    </row>
    <row r="428">
      <c r="C428" s="35"/>
      <c r="E428" s="35"/>
      <c r="G428" s="35"/>
      <c r="I428" s="35"/>
      <c r="K428" s="35"/>
      <c r="L428" s="35"/>
      <c r="N428" s="41"/>
      <c r="O428" s="41"/>
      <c r="P428" s="41"/>
      <c r="Q428" s="41"/>
      <c r="R428" s="41"/>
    </row>
    <row r="429">
      <c r="C429" s="35"/>
      <c r="E429" s="35"/>
      <c r="G429" s="35"/>
      <c r="I429" s="35"/>
      <c r="K429" s="35"/>
      <c r="L429" s="35"/>
      <c r="N429" s="41"/>
      <c r="O429" s="41"/>
      <c r="P429" s="41"/>
      <c r="Q429" s="41"/>
      <c r="R429" s="41"/>
    </row>
    <row r="430">
      <c r="C430" s="35"/>
      <c r="E430" s="35"/>
      <c r="G430" s="35"/>
      <c r="I430" s="35"/>
      <c r="K430" s="35"/>
      <c r="L430" s="35"/>
      <c r="N430" s="41"/>
      <c r="O430" s="41"/>
      <c r="P430" s="41"/>
      <c r="Q430" s="41"/>
      <c r="R430" s="41"/>
    </row>
    <row r="431">
      <c r="C431" s="35"/>
      <c r="E431" s="35"/>
      <c r="G431" s="35"/>
      <c r="I431" s="35"/>
      <c r="K431" s="35"/>
      <c r="L431" s="35"/>
      <c r="N431" s="41"/>
      <c r="O431" s="41"/>
      <c r="P431" s="41"/>
      <c r="Q431" s="41"/>
      <c r="R431" s="41"/>
    </row>
    <row r="432">
      <c r="C432" s="35"/>
      <c r="E432" s="35"/>
      <c r="G432" s="35"/>
      <c r="I432" s="35"/>
      <c r="K432" s="35"/>
      <c r="L432" s="35"/>
      <c r="N432" s="41"/>
      <c r="O432" s="41"/>
      <c r="P432" s="41"/>
      <c r="Q432" s="41"/>
      <c r="R432" s="41"/>
    </row>
    <row r="433">
      <c r="C433" s="35"/>
      <c r="E433" s="35"/>
      <c r="G433" s="35"/>
      <c r="I433" s="35"/>
      <c r="K433" s="35"/>
      <c r="L433" s="35"/>
      <c r="N433" s="41"/>
      <c r="O433" s="41"/>
      <c r="P433" s="41"/>
      <c r="Q433" s="41"/>
      <c r="R433" s="41"/>
    </row>
    <row r="434">
      <c r="C434" s="35"/>
      <c r="E434" s="35"/>
      <c r="G434" s="35"/>
      <c r="I434" s="35"/>
      <c r="K434" s="35"/>
      <c r="L434" s="35"/>
      <c r="N434" s="41"/>
      <c r="O434" s="41"/>
      <c r="P434" s="41"/>
      <c r="Q434" s="41"/>
      <c r="R434" s="41"/>
    </row>
    <row r="435">
      <c r="C435" s="35"/>
      <c r="E435" s="35"/>
      <c r="G435" s="35"/>
      <c r="I435" s="35"/>
      <c r="K435" s="35"/>
      <c r="L435" s="35"/>
      <c r="N435" s="41"/>
      <c r="O435" s="41"/>
      <c r="P435" s="41"/>
      <c r="Q435" s="41"/>
      <c r="R435" s="41"/>
    </row>
    <row r="436">
      <c r="C436" s="35"/>
      <c r="E436" s="35"/>
      <c r="G436" s="35"/>
      <c r="I436" s="35"/>
      <c r="K436" s="35"/>
      <c r="L436" s="35"/>
      <c r="N436" s="41"/>
      <c r="O436" s="41"/>
      <c r="P436" s="41"/>
      <c r="Q436" s="41"/>
      <c r="R436" s="41"/>
    </row>
    <row r="437">
      <c r="C437" s="35"/>
      <c r="E437" s="35"/>
      <c r="G437" s="35"/>
      <c r="I437" s="35"/>
      <c r="K437" s="35"/>
      <c r="L437" s="35"/>
      <c r="N437" s="41"/>
      <c r="O437" s="41"/>
      <c r="P437" s="41"/>
      <c r="Q437" s="41"/>
      <c r="R437" s="41"/>
    </row>
    <row r="438">
      <c r="C438" s="35"/>
      <c r="E438" s="35"/>
      <c r="G438" s="35"/>
      <c r="I438" s="35"/>
      <c r="K438" s="35"/>
      <c r="L438" s="35"/>
      <c r="N438" s="41"/>
      <c r="O438" s="41"/>
      <c r="P438" s="41"/>
      <c r="Q438" s="41"/>
      <c r="R438" s="41"/>
    </row>
    <row r="439">
      <c r="C439" s="35"/>
      <c r="E439" s="35"/>
      <c r="G439" s="35"/>
      <c r="I439" s="35"/>
      <c r="K439" s="35"/>
      <c r="L439" s="35"/>
      <c r="N439" s="41"/>
      <c r="O439" s="41"/>
      <c r="P439" s="41"/>
      <c r="Q439" s="41"/>
      <c r="R439" s="41"/>
    </row>
    <row r="440">
      <c r="C440" s="35"/>
      <c r="E440" s="35"/>
      <c r="G440" s="35"/>
      <c r="I440" s="35"/>
      <c r="K440" s="35"/>
      <c r="L440" s="35"/>
      <c r="N440" s="41"/>
      <c r="O440" s="41"/>
      <c r="P440" s="41"/>
      <c r="Q440" s="41"/>
      <c r="R440" s="41"/>
    </row>
    <row r="441">
      <c r="C441" s="35"/>
      <c r="E441" s="35"/>
      <c r="G441" s="35"/>
      <c r="I441" s="35"/>
      <c r="K441" s="35"/>
      <c r="L441" s="35"/>
      <c r="N441" s="41"/>
      <c r="O441" s="41"/>
      <c r="P441" s="41"/>
      <c r="Q441" s="41"/>
      <c r="R441" s="41"/>
    </row>
    <row r="442">
      <c r="C442" s="35"/>
      <c r="E442" s="35"/>
      <c r="G442" s="35"/>
      <c r="I442" s="35"/>
      <c r="K442" s="35"/>
      <c r="L442" s="35"/>
      <c r="N442" s="41"/>
      <c r="O442" s="41"/>
      <c r="P442" s="41"/>
      <c r="Q442" s="41"/>
      <c r="R442" s="41"/>
    </row>
    <row r="443">
      <c r="C443" s="35"/>
      <c r="E443" s="35"/>
      <c r="G443" s="35"/>
      <c r="I443" s="35"/>
      <c r="K443" s="35"/>
      <c r="L443" s="35"/>
      <c r="N443" s="41"/>
      <c r="O443" s="41"/>
      <c r="P443" s="41"/>
      <c r="Q443" s="41"/>
      <c r="R443" s="41"/>
    </row>
    <row r="444">
      <c r="C444" s="35"/>
      <c r="E444" s="35"/>
      <c r="G444" s="35"/>
      <c r="I444" s="35"/>
      <c r="K444" s="35"/>
      <c r="L444" s="35"/>
      <c r="N444" s="41"/>
      <c r="O444" s="41"/>
      <c r="P444" s="41"/>
      <c r="Q444" s="41"/>
      <c r="R444" s="41"/>
    </row>
    <row r="445">
      <c r="C445" s="35"/>
      <c r="E445" s="35"/>
      <c r="G445" s="35"/>
      <c r="I445" s="35"/>
      <c r="K445" s="35"/>
      <c r="L445" s="35"/>
      <c r="N445" s="41"/>
      <c r="O445" s="41"/>
      <c r="P445" s="41"/>
      <c r="Q445" s="41"/>
      <c r="R445" s="41"/>
    </row>
    <row r="446">
      <c r="C446" s="35"/>
      <c r="E446" s="35"/>
      <c r="G446" s="35"/>
      <c r="I446" s="35"/>
      <c r="K446" s="35"/>
      <c r="L446" s="35"/>
      <c r="N446" s="41"/>
      <c r="O446" s="41"/>
      <c r="P446" s="41"/>
      <c r="Q446" s="41"/>
      <c r="R446" s="41"/>
    </row>
    <row r="447">
      <c r="C447" s="35"/>
      <c r="E447" s="35"/>
      <c r="G447" s="35"/>
      <c r="I447" s="35"/>
      <c r="K447" s="35"/>
      <c r="L447" s="35"/>
      <c r="N447" s="41"/>
      <c r="O447" s="41"/>
      <c r="P447" s="41"/>
      <c r="Q447" s="41"/>
      <c r="R447" s="41"/>
    </row>
    <row r="448">
      <c r="C448" s="35"/>
      <c r="E448" s="35"/>
      <c r="G448" s="35"/>
      <c r="I448" s="35"/>
      <c r="K448" s="35"/>
      <c r="L448" s="35"/>
      <c r="N448" s="41"/>
      <c r="O448" s="41"/>
      <c r="P448" s="41"/>
      <c r="Q448" s="41"/>
      <c r="R448" s="41"/>
    </row>
    <row r="449">
      <c r="C449" s="35"/>
      <c r="E449" s="35"/>
      <c r="G449" s="35"/>
      <c r="I449" s="35"/>
      <c r="K449" s="35"/>
      <c r="L449" s="35"/>
      <c r="N449" s="41"/>
      <c r="O449" s="41"/>
      <c r="P449" s="41"/>
      <c r="Q449" s="41"/>
      <c r="R449" s="41"/>
    </row>
    <row r="450">
      <c r="C450" s="35"/>
      <c r="E450" s="35"/>
      <c r="G450" s="35"/>
      <c r="I450" s="35"/>
      <c r="K450" s="35"/>
      <c r="L450" s="35"/>
      <c r="N450" s="41"/>
      <c r="O450" s="41"/>
      <c r="P450" s="41"/>
      <c r="Q450" s="41"/>
      <c r="R450" s="41"/>
    </row>
    <row r="451">
      <c r="C451" s="35"/>
      <c r="E451" s="35"/>
      <c r="G451" s="35"/>
      <c r="I451" s="35"/>
      <c r="K451" s="35"/>
      <c r="L451" s="35"/>
      <c r="N451" s="41"/>
      <c r="O451" s="41"/>
      <c r="P451" s="41"/>
      <c r="Q451" s="41"/>
      <c r="R451" s="41"/>
    </row>
    <row r="452">
      <c r="C452" s="35"/>
      <c r="E452" s="35"/>
      <c r="G452" s="35"/>
      <c r="I452" s="35"/>
      <c r="K452" s="35"/>
      <c r="L452" s="35"/>
      <c r="N452" s="41"/>
      <c r="O452" s="41"/>
      <c r="P452" s="41"/>
      <c r="Q452" s="41"/>
      <c r="R452" s="41"/>
    </row>
    <row r="453">
      <c r="C453" s="35"/>
      <c r="E453" s="35"/>
      <c r="G453" s="35"/>
      <c r="I453" s="35"/>
      <c r="K453" s="35"/>
      <c r="L453" s="35"/>
      <c r="N453" s="41"/>
      <c r="O453" s="41"/>
      <c r="P453" s="41"/>
      <c r="Q453" s="41"/>
      <c r="R453" s="41"/>
    </row>
    <row r="454">
      <c r="C454" s="35"/>
      <c r="E454" s="35"/>
      <c r="G454" s="35"/>
      <c r="I454" s="35"/>
      <c r="K454" s="35"/>
      <c r="L454" s="35"/>
      <c r="N454" s="41"/>
      <c r="O454" s="41"/>
      <c r="P454" s="41"/>
      <c r="Q454" s="41"/>
      <c r="R454" s="41"/>
    </row>
    <row r="455">
      <c r="C455" s="35"/>
      <c r="E455" s="35"/>
      <c r="G455" s="35"/>
      <c r="I455" s="35"/>
      <c r="K455" s="35"/>
      <c r="L455" s="35"/>
      <c r="N455" s="41"/>
      <c r="O455" s="41"/>
      <c r="P455" s="41"/>
      <c r="Q455" s="41"/>
      <c r="R455" s="41"/>
    </row>
    <row r="456">
      <c r="C456" s="35"/>
      <c r="E456" s="35"/>
      <c r="G456" s="35"/>
      <c r="I456" s="35"/>
      <c r="K456" s="35"/>
      <c r="L456" s="35"/>
      <c r="N456" s="41"/>
      <c r="O456" s="41"/>
      <c r="P456" s="41"/>
      <c r="Q456" s="41"/>
      <c r="R456" s="41"/>
    </row>
    <row r="457">
      <c r="C457" s="35"/>
      <c r="E457" s="35"/>
      <c r="G457" s="35"/>
      <c r="I457" s="35"/>
      <c r="K457" s="35"/>
      <c r="L457" s="35"/>
      <c r="N457" s="41"/>
      <c r="O457" s="41"/>
      <c r="P457" s="41"/>
      <c r="Q457" s="41"/>
      <c r="R457" s="41"/>
    </row>
    <row r="458">
      <c r="C458" s="35"/>
      <c r="E458" s="35"/>
      <c r="G458" s="35"/>
      <c r="I458" s="35"/>
      <c r="K458" s="35"/>
      <c r="L458" s="35"/>
      <c r="N458" s="41"/>
      <c r="O458" s="41"/>
      <c r="P458" s="41"/>
      <c r="Q458" s="41"/>
      <c r="R458" s="41"/>
    </row>
    <row r="459">
      <c r="C459" s="35"/>
      <c r="E459" s="35"/>
      <c r="G459" s="35"/>
      <c r="I459" s="35"/>
      <c r="K459" s="35"/>
      <c r="L459" s="35"/>
      <c r="N459" s="41"/>
      <c r="O459" s="41"/>
      <c r="P459" s="41"/>
      <c r="Q459" s="41"/>
      <c r="R459" s="41"/>
    </row>
    <row r="460">
      <c r="C460" s="35"/>
      <c r="E460" s="35"/>
      <c r="G460" s="35"/>
      <c r="I460" s="35"/>
      <c r="K460" s="35"/>
      <c r="L460" s="35"/>
      <c r="N460" s="41"/>
      <c r="O460" s="41"/>
      <c r="P460" s="41"/>
      <c r="Q460" s="41"/>
      <c r="R460" s="41"/>
    </row>
    <row r="461">
      <c r="C461" s="35"/>
      <c r="E461" s="35"/>
      <c r="G461" s="35"/>
      <c r="I461" s="35"/>
      <c r="K461" s="35"/>
      <c r="L461" s="35"/>
      <c r="N461" s="41"/>
      <c r="O461" s="41"/>
      <c r="P461" s="41"/>
      <c r="Q461" s="41"/>
      <c r="R461" s="41"/>
    </row>
    <row r="462">
      <c r="C462" s="35"/>
      <c r="E462" s="35"/>
      <c r="G462" s="35"/>
      <c r="I462" s="35"/>
      <c r="K462" s="35"/>
      <c r="L462" s="35"/>
      <c r="N462" s="41"/>
      <c r="O462" s="41"/>
      <c r="P462" s="41"/>
      <c r="Q462" s="41"/>
      <c r="R462" s="41"/>
    </row>
    <row r="463">
      <c r="C463" s="35"/>
      <c r="E463" s="35"/>
      <c r="G463" s="35"/>
      <c r="I463" s="35"/>
      <c r="K463" s="35"/>
      <c r="L463" s="35"/>
      <c r="N463" s="41"/>
      <c r="O463" s="41"/>
      <c r="P463" s="41"/>
      <c r="Q463" s="41"/>
      <c r="R463" s="41"/>
    </row>
    <row r="464">
      <c r="C464" s="35"/>
      <c r="E464" s="35"/>
      <c r="G464" s="35"/>
      <c r="I464" s="35"/>
      <c r="K464" s="35"/>
      <c r="L464" s="35"/>
      <c r="N464" s="41"/>
      <c r="O464" s="41"/>
      <c r="P464" s="41"/>
      <c r="Q464" s="41"/>
      <c r="R464" s="41"/>
    </row>
    <row r="465">
      <c r="C465" s="35"/>
      <c r="E465" s="35"/>
      <c r="G465" s="35"/>
      <c r="I465" s="35"/>
      <c r="K465" s="35"/>
      <c r="L465" s="35"/>
      <c r="N465" s="41"/>
      <c r="O465" s="41"/>
      <c r="P465" s="41"/>
      <c r="Q465" s="41"/>
      <c r="R465" s="41"/>
    </row>
    <row r="466">
      <c r="C466" s="35"/>
      <c r="E466" s="35"/>
      <c r="G466" s="35"/>
      <c r="I466" s="35"/>
      <c r="K466" s="35"/>
      <c r="L466" s="35"/>
      <c r="N466" s="41"/>
      <c r="O466" s="41"/>
      <c r="P466" s="41"/>
      <c r="Q466" s="41"/>
      <c r="R466" s="41"/>
    </row>
    <row r="467">
      <c r="C467" s="35"/>
      <c r="E467" s="35"/>
      <c r="G467" s="35"/>
      <c r="I467" s="35"/>
      <c r="K467" s="35"/>
      <c r="L467" s="35"/>
      <c r="N467" s="41"/>
      <c r="O467" s="41"/>
      <c r="P467" s="41"/>
      <c r="Q467" s="41"/>
      <c r="R467" s="41"/>
    </row>
    <row r="468">
      <c r="C468" s="35"/>
      <c r="E468" s="35"/>
      <c r="G468" s="35"/>
      <c r="I468" s="35"/>
      <c r="K468" s="35"/>
      <c r="L468" s="35"/>
      <c r="N468" s="41"/>
      <c r="O468" s="41"/>
      <c r="P468" s="41"/>
      <c r="Q468" s="41"/>
      <c r="R468" s="41"/>
    </row>
    <row r="469">
      <c r="C469" s="35"/>
      <c r="E469" s="35"/>
      <c r="G469" s="35"/>
      <c r="I469" s="35"/>
      <c r="K469" s="35"/>
      <c r="L469" s="35"/>
      <c r="N469" s="41"/>
      <c r="O469" s="41"/>
      <c r="P469" s="41"/>
      <c r="Q469" s="41"/>
      <c r="R469" s="41"/>
    </row>
    <row r="470">
      <c r="C470" s="35"/>
      <c r="E470" s="35"/>
      <c r="G470" s="35"/>
      <c r="I470" s="35"/>
      <c r="K470" s="35"/>
      <c r="L470" s="35"/>
      <c r="N470" s="41"/>
      <c r="O470" s="41"/>
      <c r="P470" s="41"/>
      <c r="Q470" s="41"/>
      <c r="R470" s="41"/>
    </row>
    <row r="471">
      <c r="C471" s="35"/>
      <c r="E471" s="35"/>
      <c r="G471" s="35"/>
      <c r="I471" s="35"/>
      <c r="K471" s="35"/>
      <c r="L471" s="35"/>
      <c r="N471" s="41"/>
      <c r="O471" s="41"/>
      <c r="P471" s="41"/>
      <c r="Q471" s="41"/>
      <c r="R471" s="41"/>
    </row>
    <row r="472">
      <c r="C472" s="35"/>
      <c r="E472" s="35"/>
      <c r="G472" s="35"/>
      <c r="I472" s="35"/>
      <c r="K472" s="35"/>
      <c r="L472" s="35"/>
      <c r="N472" s="41"/>
      <c r="O472" s="41"/>
      <c r="P472" s="41"/>
      <c r="Q472" s="41"/>
      <c r="R472" s="41"/>
    </row>
    <row r="473">
      <c r="C473" s="35"/>
      <c r="E473" s="35"/>
      <c r="G473" s="35"/>
      <c r="I473" s="35"/>
      <c r="K473" s="35"/>
      <c r="L473" s="35"/>
      <c r="N473" s="41"/>
      <c r="O473" s="41"/>
      <c r="P473" s="41"/>
      <c r="Q473" s="41"/>
      <c r="R473" s="41"/>
    </row>
    <row r="474">
      <c r="C474" s="35"/>
      <c r="E474" s="35"/>
      <c r="G474" s="35"/>
      <c r="I474" s="35"/>
      <c r="K474" s="35"/>
      <c r="L474" s="35"/>
      <c r="N474" s="41"/>
      <c r="O474" s="41"/>
      <c r="P474" s="41"/>
      <c r="Q474" s="41"/>
      <c r="R474" s="41"/>
    </row>
    <row r="475">
      <c r="C475" s="35"/>
      <c r="E475" s="35"/>
      <c r="G475" s="35"/>
      <c r="I475" s="35"/>
      <c r="K475" s="35"/>
      <c r="L475" s="35"/>
      <c r="N475" s="41"/>
      <c r="O475" s="41"/>
      <c r="P475" s="41"/>
      <c r="Q475" s="41"/>
      <c r="R475" s="41"/>
    </row>
    <row r="476">
      <c r="C476" s="35"/>
      <c r="E476" s="35"/>
      <c r="G476" s="35"/>
      <c r="I476" s="35"/>
      <c r="K476" s="35"/>
      <c r="L476" s="35"/>
      <c r="N476" s="41"/>
      <c r="O476" s="41"/>
      <c r="P476" s="41"/>
      <c r="Q476" s="41"/>
      <c r="R476" s="41"/>
    </row>
    <row r="477">
      <c r="C477" s="35"/>
      <c r="E477" s="35"/>
      <c r="G477" s="35"/>
      <c r="I477" s="35"/>
      <c r="K477" s="35"/>
      <c r="L477" s="35"/>
      <c r="N477" s="41"/>
      <c r="O477" s="41"/>
      <c r="P477" s="41"/>
      <c r="Q477" s="41"/>
      <c r="R477" s="41"/>
    </row>
    <row r="478">
      <c r="C478" s="35"/>
      <c r="E478" s="35"/>
      <c r="G478" s="35"/>
      <c r="I478" s="35"/>
      <c r="K478" s="35"/>
      <c r="L478" s="35"/>
      <c r="N478" s="41"/>
      <c r="O478" s="41"/>
      <c r="P478" s="41"/>
      <c r="Q478" s="41"/>
      <c r="R478" s="41"/>
    </row>
    <row r="479">
      <c r="C479" s="35"/>
      <c r="E479" s="35"/>
      <c r="G479" s="35"/>
      <c r="I479" s="35"/>
      <c r="K479" s="35"/>
      <c r="L479" s="35"/>
      <c r="N479" s="41"/>
      <c r="O479" s="41"/>
      <c r="P479" s="41"/>
      <c r="Q479" s="41"/>
      <c r="R479" s="41"/>
    </row>
    <row r="480">
      <c r="C480" s="35"/>
      <c r="E480" s="35"/>
      <c r="G480" s="35"/>
      <c r="I480" s="35"/>
      <c r="K480" s="35"/>
      <c r="L480" s="35"/>
      <c r="N480" s="41"/>
      <c r="O480" s="41"/>
      <c r="P480" s="41"/>
      <c r="Q480" s="41"/>
      <c r="R480" s="41"/>
    </row>
    <row r="481">
      <c r="C481" s="35"/>
      <c r="E481" s="35"/>
      <c r="G481" s="35"/>
      <c r="I481" s="35"/>
      <c r="K481" s="35"/>
      <c r="L481" s="35"/>
      <c r="N481" s="41"/>
      <c r="O481" s="41"/>
      <c r="P481" s="41"/>
      <c r="Q481" s="41"/>
      <c r="R481" s="41"/>
    </row>
    <row r="482">
      <c r="C482" s="35"/>
      <c r="E482" s="35"/>
      <c r="G482" s="35"/>
      <c r="I482" s="35"/>
      <c r="K482" s="35"/>
      <c r="L482" s="35"/>
      <c r="N482" s="41"/>
      <c r="O482" s="41"/>
      <c r="P482" s="41"/>
      <c r="Q482" s="41"/>
      <c r="R482" s="41"/>
    </row>
    <row r="483">
      <c r="C483" s="35"/>
      <c r="E483" s="35"/>
      <c r="G483" s="35"/>
      <c r="I483" s="35"/>
      <c r="K483" s="35"/>
      <c r="L483" s="35"/>
      <c r="N483" s="41"/>
      <c r="O483" s="41"/>
      <c r="P483" s="41"/>
      <c r="Q483" s="41"/>
      <c r="R483" s="41"/>
    </row>
    <row r="484">
      <c r="C484" s="35"/>
      <c r="E484" s="35"/>
      <c r="G484" s="35"/>
      <c r="I484" s="35"/>
      <c r="K484" s="35"/>
      <c r="L484" s="35"/>
      <c r="N484" s="41"/>
      <c r="O484" s="41"/>
      <c r="P484" s="41"/>
      <c r="Q484" s="41"/>
      <c r="R484" s="41"/>
    </row>
    <row r="485">
      <c r="C485" s="35"/>
      <c r="E485" s="35"/>
      <c r="G485" s="35"/>
      <c r="I485" s="35"/>
      <c r="K485" s="35"/>
      <c r="L485" s="35"/>
      <c r="N485" s="41"/>
      <c r="O485" s="41"/>
      <c r="P485" s="41"/>
      <c r="Q485" s="41"/>
      <c r="R485" s="41"/>
    </row>
    <row r="486">
      <c r="C486" s="35"/>
      <c r="E486" s="35"/>
      <c r="G486" s="35"/>
      <c r="I486" s="35"/>
      <c r="K486" s="35"/>
      <c r="L486" s="35"/>
      <c r="N486" s="41"/>
      <c r="O486" s="41"/>
      <c r="P486" s="41"/>
      <c r="Q486" s="41"/>
      <c r="R486" s="41"/>
    </row>
    <row r="487">
      <c r="C487" s="35"/>
      <c r="E487" s="35"/>
      <c r="G487" s="35"/>
      <c r="I487" s="35"/>
      <c r="K487" s="35"/>
      <c r="L487" s="35"/>
      <c r="N487" s="41"/>
      <c r="O487" s="41"/>
      <c r="P487" s="41"/>
      <c r="Q487" s="41"/>
      <c r="R487" s="41"/>
    </row>
    <row r="488">
      <c r="C488" s="35"/>
      <c r="E488" s="35"/>
      <c r="G488" s="35"/>
      <c r="I488" s="35"/>
      <c r="K488" s="35"/>
      <c r="L488" s="35"/>
      <c r="N488" s="41"/>
      <c r="O488" s="41"/>
      <c r="P488" s="41"/>
      <c r="Q488" s="41"/>
      <c r="R488" s="41"/>
    </row>
    <row r="489">
      <c r="C489" s="35"/>
      <c r="E489" s="35"/>
      <c r="G489" s="35"/>
      <c r="I489" s="35"/>
      <c r="K489" s="35"/>
      <c r="L489" s="35"/>
      <c r="N489" s="41"/>
      <c r="O489" s="41"/>
      <c r="P489" s="41"/>
      <c r="Q489" s="41"/>
      <c r="R489" s="41"/>
    </row>
    <row r="490">
      <c r="C490" s="35"/>
      <c r="E490" s="35"/>
      <c r="G490" s="35"/>
      <c r="I490" s="35"/>
      <c r="K490" s="35"/>
      <c r="L490" s="35"/>
      <c r="N490" s="41"/>
      <c r="O490" s="41"/>
      <c r="P490" s="41"/>
      <c r="Q490" s="41"/>
      <c r="R490" s="41"/>
    </row>
    <row r="491">
      <c r="C491" s="35"/>
      <c r="E491" s="35"/>
      <c r="G491" s="35"/>
      <c r="I491" s="35"/>
      <c r="K491" s="35"/>
      <c r="L491" s="35"/>
      <c r="N491" s="41"/>
      <c r="O491" s="41"/>
      <c r="P491" s="41"/>
      <c r="Q491" s="41"/>
      <c r="R491" s="41"/>
    </row>
    <row r="492">
      <c r="C492" s="35"/>
      <c r="E492" s="35"/>
      <c r="G492" s="35"/>
      <c r="I492" s="35"/>
      <c r="K492" s="35"/>
      <c r="L492" s="35"/>
      <c r="N492" s="41"/>
      <c r="O492" s="41"/>
      <c r="P492" s="41"/>
      <c r="Q492" s="41"/>
      <c r="R492" s="41"/>
    </row>
    <row r="493">
      <c r="C493" s="35"/>
      <c r="E493" s="35"/>
      <c r="G493" s="35"/>
      <c r="I493" s="35"/>
      <c r="K493" s="35"/>
      <c r="L493" s="35"/>
      <c r="N493" s="41"/>
      <c r="O493" s="41"/>
      <c r="P493" s="41"/>
      <c r="Q493" s="41"/>
      <c r="R493" s="41"/>
    </row>
    <row r="494">
      <c r="C494" s="35"/>
      <c r="E494" s="35"/>
      <c r="G494" s="35"/>
      <c r="I494" s="35"/>
      <c r="K494" s="35"/>
      <c r="L494" s="35"/>
      <c r="N494" s="41"/>
      <c r="O494" s="41"/>
      <c r="P494" s="41"/>
      <c r="Q494" s="41"/>
      <c r="R494" s="41"/>
    </row>
    <row r="495">
      <c r="C495" s="35"/>
      <c r="E495" s="35"/>
      <c r="G495" s="35"/>
      <c r="I495" s="35"/>
      <c r="K495" s="35"/>
      <c r="L495" s="35"/>
      <c r="N495" s="41"/>
      <c r="O495" s="41"/>
      <c r="P495" s="41"/>
      <c r="Q495" s="41"/>
      <c r="R495" s="41"/>
    </row>
    <row r="496">
      <c r="C496" s="35"/>
      <c r="E496" s="35"/>
      <c r="G496" s="35"/>
      <c r="I496" s="35"/>
      <c r="K496" s="35"/>
      <c r="L496" s="35"/>
      <c r="N496" s="41"/>
      <c r="O496" s="41"/>
      <c r="P496" s="41"/>
      <c r="Q496" s="41"/>
      <c r="R496" s="41"/>
    </row>
    <row r="497">
      <c r="C497" s="35"/>
      <c r="E497" s="35"/>
      <c r="G497" s="35"/>
      <c r="I497" s="35"/>
      <c r="K497" s="35"/>
      <c r="L497" s="35"/>
      <c r="N497" s="41"/>
      <c r="O497" s="41"/>
      <c r="P497" s="41"/>
      <c r="Q497" s="41"/>
      <c r="R497" s="41"/>
    </row>
    <row r="498">
      <c r="C498" s="35"/>
      <c r="E498" s="35"/>
      <c r="G498" s="35"/>
      <c r="I498" s="35"/>
      <c r="K498" s="35"/>
      <c r="L498" s="35"/>
      <c r="N498" s="41"/>
      <c r="O498" s="41"/>
      <c r="P498" s="41"/>
      <c r="Q498" s="41"/>
      <c r="R498" s="41"/>
    </row>
    <row r="499">
      <c r="C499" s="35"/>
      <c r="E499" s="35"/>
      <c r="G499" s="35"/>
      <c r="I499" s="35"/>
      <c r="K499" s="35"/>
      <c r="L499" s="35"/>
      <c r="N499" s="41"/>
      <c r="O499" s="41"/>
      <c r="P499" s="41"/>
      <c r="Q499" s="41"/>
      <c r="R499" s="41"/>
    </row>
    <row r="500">
      <c r="C500" s="35"/>
      <c r="E500" s="35"/>
      <c r="G500" s="35"/>
      <c r="I500" s="35"/>
      <c r="K500" s="35"/>
      <c r="L500" s="35"/>
      <c r="N500" s="41"/>
      <c r="O500" s="41"/>
      <c r="P500" s="41"/>
      <c r="Q500" s="41"/>
      <c r="R500" s="41"/>
    </row>
    <row r="501">
      <c r="C501" s="35"/>
      <c r="E501" s="35"/>
      <c r="G501" s="35"/>
      <c r="I501" s="35"/>
      <c r="K501" s="35"/>
      <c r="L501" s="35"/>
      <c r="N501" s="41"/>
      <c r="O501" s="41"/>
      <c r="P501" s="41"/>
      <c r="Q501" s="41"/>
      <c r="R501" s="41"/>
    </row>
    <row r="502">
      <c r="C502" s="35"/>
      <c r="E502" s="35"/>
      <c r="G502" s="35"/>
      <c r="I502" s="35"/>
      <c r="K502" s="35"/>
      <c r="L502" s="35"/>
      <c r="N502" s="41"/>
      <c r="O502" s="41"/>
      <c r="P502" s="41"/>
      <c r="Q502" s="41"/>
      <c r="R502" s="41"/>
    </row>
    <row r="503">
      <c r="C503" s="35"/>
      <c r="E503" s="35"/>
      <c r="G503" s="35"/>
      <c r="I503" s="35"/>
      <c r="K503" s="35"/>
      <c r="L503" s="35"/>
      <c r="N503" s="41"/>
      <c r="O503" s="41"/>
      <c r="P503" s="41"/>
      <c r="Q503" s="41"/>
      <c r="R503" s="41"/>
    </row>
    <row r="504">
      <c r="C504" s="35"/>
      <c r="E504" s="35"/>
      <c r="G504" s="35"/>
      <c r="I504" s="35"/>
      <c r="K504" s="35"/>
      <c r="L504" s="35"/>
      <c r="N504" s="41"/>
      <c r="O504" s="41"/>
      <c r="P504" s="41"/>
      <c r="Q504" s="41"/>
      <c r="R504" s="41"/>
    </row>
    <row r="505">
      <c r="C505" s="35"/>
      <c r="E505" s="35"/>
      <c r="G505" s="35"/>
      <c r="I505" s="35"/>
      <c r="K505" s="35"/>
      <c r="L505" s="35"/>
      <c r="N505" s="41"/>
      <c r="O505" s="41"/>
      <c r="P505" s="41"/>
      <c r="Q505" s="41"/>
      <c r="R505" s="41"/>
    </row>
    <row r="506">
      <c r="C506" s="35"/>
      <c r="E506" s="35"/>
      <c r="G506" s="35"/>
      <c r="I506" s="35"/>
      <c r="K506" s="35"/>
      <c r="L506" s="35"/>
      <c r="N506" s="41"/>
      <c r="O506" s="41"/>
      <c r="P506" s="41"/>
      <c r="Q506" s="41"/>
      <c r="R506" s="41"/>
    </row>
    <row r="507">
      <c r="C507" s="35"/>
      <c r="E507" s="35"/>
      <c r="G507" s="35"/>
      <c r="I507" s="35"/>
      <c r="K507" s="35"/>
      <c r="L507" s="35"/>
      <c r="N507" s="41"/>
      <c r="O507" s="41"/>
      <c r="P507" s="41"/>
      <c r="Q507" s="41"/>
      <c r="R507" s="41"/>
    </row>
    <row r="508">
      <c r="C508" s="35"/>
      <c r="E508" s="35"/>
      <c r="G508" s="35"/>
      <c r="I508" s="35"/>
      <c r="K508" s="35"/>
      <c r="L508" s="35"/>
      <c r="N508" s="41"/>
      <c r="O508" s="41"/>
      <c r="P508" s="41"/>
      <c r="Q508" s="41"/>
      <c r="R508" s="41"/>
    </row>
    <row r="509">
      <c r="C509" s="35"/>
      <c r="E509" s="35"/>
      <c r="G509" s="35"/>
      <c r="I509" s="35"/>
      <c r="K509" s="35"/>
      <c r="L509" s="35"/>
      <c r="N509" s="41"/>
      <c r="O509" s="41"/>
      <c r="P509" s="41"/>
      <c r="Q509" s="41"/>
      <c r="R509" s="41"/>
    </row>
    <row r="510">
      <c r="C510" s="35"/>
      <c r="E510" s="35"/>
      <c r="G510" s="35"/>
      <c r="I510" s="35"/>
      <c r="K510" s="35"/>
      <c r="L510" s="35"/>
      <c r="N510" s="41"/>
      <c r="O510" s="41"/>
      <c r="P510" s="41"/>
      <c r="Q510" s="41"/>
      <c r="R510" s="41"/>
    </row>
    <row r="511">
      <c r="C511" s="35"/>
      <c r="E511" s="35"/>
      <c r="G511" s="35"/>
      <c r="I511" s="35"/>
      <c r="K511" s="35"/>
      <c r="L511" s="35"/>
      <c r="N511" s="41"/>
      <c r="O511" s="41"/>
      <c r="P511" s="41"/>
      <c r="Q511" s="41"/>
      <c r="R511" s="41"/>
    </row>
    <row r="512">
      <c r="C512" s="35"/>
      <c r="E512" s="35"/>
      <c r="G512" s="35"/>
      <c r="I512" s="35"/>
      <c r="K512" s="35"/>
      <c r="L512" s="35"/>
      <c r="N512" s="41"/>
      <c r="O512" s="41"/>
      <c r="P512" s="41"/>
      <c r="Q512" s="41"/>
      <c r="R512" s="41"/>
    </row>
    <row r="513">
      <c r="C513" s="35"/>
      <c r="E513" s="35"/>
      <c r="G513" s="35"/>
      <c r="I513" s="35"/>
      <c r="K513" s="35"/>
      <c r="L513" s="35"/>
      <c r="N513" s="41"/>
      <c r="O513" s="41"/>
      <c r="P513" s="41"/>
      <c r="Q513" s="41"/>
      <c r="R513" s="41"/>
    </row>
    <row r="514">
      <c r="C514" s="35"/>
      <c r="E514" s="35"/>
      <c r="G514" s="35"/>
      <c r="I514" s="35"/>
      <c r="K514" s="35"/>
      <c r="L514" s="35"/>
      <c r="N514" s="41"/>
      <c r="O514" s="41"/>
      <c r="P514" s="41"/>
      <c r="Q514" s="41"/>
      <c r="R514" s="41"/>
    </row>
    <row r="515">
      <c r="C515" s="35"/>
      <c r="E515" s="35"/>
      <c r="G515" s="35"/>
      <c r="I515" s="35"/>
      <c r="K515" s="35"/>
      <c r="L515" s="35"/>
      <c r="N515" s="41"/>
      <c r="O515" s="41"/>
      <c r="P515" s="41"/>
      <c r="Q515" s="41"/>
      <c r="R515" s="41"/>
    </row>
    <row r="516">
      <c r="C516" s="35"/>
      <c r="E516" s="35"/>
      <c r="G516" s="35"/>
      <c r="I516" s="35"/>
      <c r="K516" s="35"/>
      <c r="L516" s="35"/>
      <c r="N516" s="41"/>
      <c r="O516" s="41"/>
      <c r="P516" s="41"/>
      <c r="Q516" s="41"/>
      <c r="R516" s="41"/>
    </row>
    <row r="517">
      <c r="C517" s="35"/>
      <c r="E517" s="35"/>
      <c r="G517" s="35"/>
      <c r="I517" s="35"/>
      <c r="K517" s="35"/>
      <c r="L517" s="35"/>
      <c r="N517" s="41"/>
      <c r="O517" s="41"/>
      <c r="P517" s="41"/>
      <c r="Q517" s="41"/>
      <c r="R517" s="41"/>
    </row>
    <row r="518">
      <c r="C518" s="35"/>
      <c r="E518" s="35"/>
      <c r="G518" s="35"/>
      <c r="I518" s="35"/>
      <c r="K518" s="35"/>
      <c r="L518" s="35"/>
      <c r="N518" s="41"/>
      <c r="O518" s="41"/>
      <c r="P518" s="41"/>
      <c r="Q518" s="41"/>
      <c r="R518" s="41"/>
    </row>
    <row r="519">
      <c r="C519" s="35"/>
      <c r="E519" s="35"/>
      <c r="G519" s="35"/>
      <c r="I519" s="35"/>
      <c r="K519" s="35"/>
      <c r="L519" s="35"/>
      <c r="N519" s="41"/>
      <c r="O519" s="41"/>
      <c r="P519" s="41"/>
      <c r="Q519" s="41"/>
      <c r="R519" s="41"/>
    </row>
    <row r="520">
      <c r="C520" s="35"/>
      <c r="E520" s="35"/>
      <c r="G520" s="35"/>
      <c r="I520" s="35"/>
      <c r="K520" s="35"/>
      <c r="L520" s="35"/>
      <c r="N520" s="41"/>
      <c r="O520" s="41"/>
      <c r="P520" s="41"/>
      <c r="Q520" s="41"/>
      <c r="R520" s="41"/>
    </row>
    <row r="521">
      <c r="C521" s="35"/>
      <c r="E521" s="35"/>
      <c r="G521" s="35"/>
      <c r="I521" s="35"/>
      <c r="K521" s="35"/>
      <c r="L521" s="35"/>
      <c r="N521" s="41"/>
      <c r="O521" s="41"/>
      <c r="P521" s="41"/>
      <c r="Q521" s="41"/>
      <c r="R521" s="41"/>
    </row>
    <row r="522">
      <c r="C522" s="35"/>
      <c r="E522" s="35"/>
      <c r="G522" s="35"/>
      <c r="I522" s="35"/>
      <c r="K522" s="35"/>
      <c r="L522" s="35"/>
      <c r="N522" s="41"/>
      <c r="O522" s="41"/>
      <c r="P522" s="41"/>
      <c r="Q522" s="41"/>
      <c r="R522" s="41"/>
    </row>
    <row r="523">
      <c r="C523" s="35"/>
      <c r="E523" s="35"/>
      <c r="G523" s="35"/>
      <c r="I523" s="35"/>
      <c r="K523" s="35"/>
      <c r="L523" s="35"/>
      <c r="N523" s="41"/>
      <c r="O523" s="41"/>
      <c r="P523" s="41"/>
      <c r="Q523" s="41"/>
      <c r="R523" s="41"/>
    </row>
    <row r="524">
      <c r="C524" s="35"/>
      <c r="E524" s="35"/>
      <c r="G524" s="35"/>
      <c r="I524" s="35"/>
      <c r="K524" s="35"/>
      <c r="L524" s="35"/>
      <c r="N524" s="41"/>
      <c r="O524" s="41"/>
      <c r="P524" s="41"/>
      <c r="Q524" s="41"/>
      <c r="R524" s="41"/>
    </row>
    <row r="525">
      <c r="C525" s="35"/>
      <c r="E525" s="35"/>
      <c r="G525" s="35"/>
      <c r="I525" s="35"/>
      <c r="K525" s="35"/>
      <c r="L525" s="35"/>
      <c r="N525" s="41"/>
      <c r="O525" s="41"/>
      <c r="P525" s="41"/>
      <c r="Q525" s="41"/>
      <c r="R525" s="41"/>
    </row>
    <row r="526">
      <c r="C526" s="35"/>
      <c r="E526" s="35"/>
      <c r="G526" s="35"/>
      <c r="I526" s="35"/>
      <c r="K526" s="35"/>
      <c r="L526" s="35"/>
      <c r="N526" s="41"/>
      <c r="O526" s="41"/>
      <c r="P526" s="41"/>
      <c r="Q526" s="41"/>
      <c r="R526" s="41"/>
    </row>
    <row r="527">
      <c r="C527" s="35"/>
      <c r="E527" s="35"/>
      <c r="G527" s="35"/>
      <c r="I527" s="35"/>
      <c r="K527" s="35"/>
      <c r="L527" s="35"/>
      <c r="N527" s="41"/>
      <c r="O527" s="41"/>
      <c r="P527" s="41"/>
      <c r="Q527" s="41"/>
      <c r="R527" s="41"/>
    </row>
    <row r="528">
      <c r="C528" s="35"/>
      <c r="E528" s="35"/>
      <c r="G528" s="35"/>
      <c r="I528" s="35"/>
      <c r="K528" s="35"/>
      <c r="L528" s="35"/>
      <c r="N528" s="41"/>
      <c r="O528" s="41"/>
      <c r="P528" s="41"/>
      <c r="Q528" s="41"/>
      <c r="R528" s="41"/>
    </row>
    <row r="529">
      <c r="C529" s="35"/>
      <c r="E529" s="35"/>
      <c r="G529" s="35"/>
      <c r="I529" s="35"/>
      <c r="K529" s="35"/>
      <c r="L529" s="35"/>
      <c r="N529" s="41"/>
      <c r="O529" s="41"/>
      <c r="P529" s="41"/>
      <c r="Q529" s="41"/>
      <c r="R529" s="41"/>
    </row>
    <row r="530">
      <c r="C530" s="35"/>
      <c r="E530" s="35"/>
      <c r="G530" s="35"/>
      <c r="I530" s="35"/>
      <c r="K530" s="35"/>
      <c r="L530" s="35"/>
      <c r="N530" s="41"/>
      <c r="O530" s="41"/>
      <c r="P530" s="41"/>
      <c r="Q530" s="41"/>
      <c r="R530" s="41"/>
    </row>
    <row r="531">
      <c r="C531" s="35"/>
      <c r="E531" s="35"/>
      <c r="G531" s="35"/>
      <c r="I531" s="35"/>
      <c r="K531" s="35"/>
      <c r="L531" s="35"/>
      <c r="N531" s="41"/>
      <c r="O531" s="41"/>
      <c r="P531" s="41"/>
      <c r="Q531" s="41"/>
      <c r="R531" s="41"/>
    </row>
    <row r="532">
      <c r="C532" s="35"/>
      <c r="E532" s="35"/>
      <c r="G532" s="35"/>
      <c r="I532" s="35"/>
      <c r="K532" s="35"/>
      <c r="L532" s="35"/>
      <c r="N532" s="41"/>
      <c r="O532" s="41"/>
      <c r="P532" s="41"/>
      <c r="Q532" s="41"/>
      <c r="R532" s="41"/>
    </row>
    <row r="533">
      <c r="C533" s="35"/>
      <c r="E533" s="35"/>
      <c r="G533" s="35"/>
      <c r="I533" s="35"/>
      <c r="K533" s="35"/>
      <c r="L533" s="35"/>
      <c r="N533" s="41"/>
      <c r="O533" s="41"/>
      <c r="P533" s="41"/>
      <c r="Q533" s="41"/>
      <c r="R533" s="41"/>
    </row>
    <row r="534">
      <c r="C534" s="35"/>
      <c r="E534" s="35"/>
      <c r="G534" s="35"/>
      <c r="I534" s="35"/>
      <c r="K534" s="35"/>
      <c r="L534" s="35"/>
      <c r="N534" s="41"/>
      <c r="O534" s="41"/>
      <c r="P534" s="41"/>
      <c r="Q534" s="41"/>
      <c r="R534" s="41"/>
    </row>
    <row r="535">
      <c r="C535" s="35"/>
      <c r="E535" s="35"/>
      <c r="G535" s="35"/>
      <c r="I535" s="35"/>
      <c r="K535" s="35"/>
      <c r="L535" s="35"/>
      <c r="N535" s="41"/>
      <c r="O535" s="41"/>
      <c r="P535" s="41"/>
      <c r="Q535" s="41"/>
      <c r="R535" s="41"/>
    </row>
    <row r="536">
      <c r="C536" s="35"/>
      <c r="E536" s="35"/>
      <c r="G536" s="35"/>
      <c r="I536" s="35"/>
      <c r="K536" s="35"/>
      <c r="L536" s="35"/>
      <c r="N536" s="41"/>
      <c r="O536" s="41"/>
      <c r="P536" s="41"/>
      <c r="Q536" s="41"/>
      <c r="R536" s="41"/>
    </row>
    <row r="537">
      <c r="C537" s="35"/>
      <c r="E537" s="35"/>
      <c r="G537" s="35"/>
      <c r="I537" s="35"/>
      <c r="K537" s="35"/>
      <c r="L537" s="35"/>
      <c r="N537" s="41"/>
      <c r="O537" s="41"/>
      <c r="P537" s="41"/>
      <c r="Q537" s="41"/>
      <c r="R537" s="41"/>
    </row>
    <row r="538">
      <c r="C538" s="35"/>
      <c r="E538" s="35"/>
      <c r="G538" s="35"/>
      <c r="I538" s="35"/>
      <c r="K538" s="35"/>
      <c r="L538" s="35"/>
      <c r="N538" s="41"/>
      <c r="O538" s="41"/>
      <c r="P538" s="41"/>
      <c r="Q538" s="41"/>
      <c r="R538" s="41"/>
    </row>
    <row r="539">
      <c r="C539" s="35"/>
      <c r="E539" s="35"/>
      <c r="G539" s="35"/>
      <c r="I539" s="35"/>
      <c r="K539" s="35"/>
      <c r="L539" s="35"/>
      <c r="N539" s="41"/>
      <c r="O539" s="41"/>
      <c r="P539" s="41"/>
      <c r="Q539" s="41"/>
      <c r="R539" s="41"/>
    </row>
    <row r="540">
      <c r="C540" s="35"/>
      <c r="E540" s="35"/>
      <c r="G540" s="35"/>
      <c r="I540" s="35"/>
      <c r="K540" s="35"/>
      <c r="L540" s="35"/>
      <c r="N540" s="41"/>
      <c r="O540" s="41"/>
      <c r="P540" s="41"/>
      <c r="Q540" s="41"/>
      <c r="R540" s="41"/>
    </row>
    <row r="541">
      <c r="C541" s="35"/>
      <c r="E541" s="35"/>
      <c r="G541" s="35"/>
      <c r="I541" s="35"/>
      <c r="K541" s="35"/>
      <c r="L541" s="35"/>
      <c r="N541" s="41"/>
      <c r="O541" s="41"/>
      <c r="P541" s="41"/>
      <c r="Q541" s="41"/>
      <c r="R541" s="41"/>
    </row>
    <row r="542">
      <c r="C542" s="35"/>
      <c r="E542" s="35"/>
      <c r="G542" s="35"/>
      <c r="I542" s="35"/>
      <c r="K542" s="35"/>
      <c r="L542" s="35"/>
      <c r="N542" s="41"/>
      <c r="O542" s="41"/>
      <c r="P542" s="41"/>
      <c r="Q542" s="41"/>
      <c r="R542" s="41"/>
    </row>
    <row r="543">
      <c r="C543" s="35"/>
      <c r="E543" s="35"/>
      <c r="G543" s="35"/>
      <c r="I543" s="35"/>
      <c r="K543" s="35"/>
      <c r="L543" s="35"/>
      <c r="N543" s="41"/>
      <c r="O543" s="41"/>
      <c r="P543" s="41"/>
      <c r="Q543" s="41"/>
      <c r="R543" s="41"/>
    </row>
    <row r="544">
      <c r="C544" s="35"/>
      <c r="E544" s="35"/>
      <c r="G544" s="35"/>
      <c r="I544" s="35"/>
      <c r="K544" s="35"/>
      <c r="L544" s="35"/>
      <c r="N544" s="41"/>
      <c r="O544" s="41"/>
      <c r="P544" s="41"/>
      <c r="Q544" s="41"/>
      <c r="R544" s="41"/>
    </row>
    <row r="545">
      <c r="C545" s="35"/>
      <c r="E545" s="35"/>
      <c r="G545" s="35"/>
      <c r="I545" s="35"/>
      <c r="K545" s="35"/>
      <c r="L545" s="35"/>
      <c r="N545" s="41"/>
      <c r="O545" s="41"/>
      <c r="P545" s="41"/>
      <c r="Q545" s="41"/>
      <c r="R545" s="41"/>
    </row>
    <row r="546">
      <c r="C546" s="35"/>
      <c r="E546" s="35"/>
      <c r="G546" s="35"/>
      <c r="I546" s="35"/>
      <c r="K546" s="35"/>
      <c r="L546" s="35"/>
      <c r="N546" s="41"/>
      <c r="O546" s="41"/>
      <c r="P546" s="41"/>
      <c r="Q546" s="41"/>
      <c r="R546" s="41"/>
    </row>
    <row r="547">
      <c r="C547" s="35"/>
      <c r="E547" s="35"/>
      <c r="G547" s="35"/>
      <c r="I547" s="35"/>
      <c r="K547" s="35"/>
      <c r="L547" s="35"/>
      <c r="N547" s="41"/>
      <c r="O547" s="41"/>
      <c r="P547" s="41"/>
      <c r="Q547" s="41"/>
      <c r="R547" s="41"/>
    </row>
    <row r="548">
      <c r="C548" s="35"/>
      <c r="E548" s="35"/>
      <c r="G548" s="35"/>
      <c r="I548" s="35"/>
      <c r="K548" s="35"/>
      <c r="L548" s="35"/>
      <c r="N548" s="41"/>
      <c r="O548" s="41"/>
      <c r="P548" s="41"/>
      <c r="Q548" s="41"/>
      <c r="R548" s="41"/>
    </row>
    <row r="549">
      <c r="C549" s="35"/>
      <c r="E549" s="35"/>
      <c r="G549" s="35"/>
      <c r="I549" s="35"/>
      <c r="K549" s="35"/>
      <c r="L549" s="35"/>
      <c r="N549" s="41"/>
      <c r="O549" s="41"/>
      <c r="P549" s="41"/>
      <c r="Q549" s="41"/>
      <c r="R549" s="41"/>
    </row>
    <row r="550">
      <c r="C550" s="35"/>
      <c r="E550" s="35"/>
      <c r="G550" s="35"/>
      <c r="I550" s="35"/>
      <c r="K550" s="35"/>
      <c r="L550" s="35"/>
      <c r="N550" s="41"/>
      <c r="O550" s="41"/>
      <c r="P550" s="41"/>
      <c r="Q550" s="41"/>
      <c r="R550" s="41"/>
    </row>
    <row r="551">
      <c r="C551" s="35"/>
      <c r="E551" s="35"/>
      <c r="G551" s="35"/>
      <c r="I551" s="35"/>
      <c r="K551" s="35"/>
      <c r="L551" s="35"/>
      <c r="N551" s="41"/>
      <c r="O551" s="41"/>
      <c r="P551" s="41"/>
      <c r="Q551" s="41"/>
      <c r="R551" s="41"/>
    </row>
    <row r="552">
      <c r="C552" s="35"/>
      <c r="E552" s="35"/>
      <c r="G552" s="35"/>
      <c r="I552" s="35"/>
      <c r="K552" s="35"/>
      <c r="L552" s="35"/>
      <c r="N552" s="41"/>
      <c r="O552" s="41"/>
      <c r="P552" s="41"/>
      <c r="Q552" s="41"/>
      <c r="R552" s="41"/>
    </row>
    <row r="553">
      <c r="C553" s="35"/>
      <c r="E553" s="35"/>
      <c r="G553" s="35"/>
      <c r="I553" s="35"/>
      <c r="K553" s="35"/>
      <c r="L553" s="35"/>
      <c r="N553" s="41"/>
      <c r="O553" s="41"/>
      <c r="P553" s="41"/>
      <c r="Q553" s="41"/>
      <c r="R553" s="41"/>
    </row>
    <row r="554">
      <c r="C554" s="35"/>
      <c r="E554" s="35"/>
      <c r="G554" s="35"/>
      <c r="I554" s="35"/>
      <c r="K554" s="35"/>
      <c r="L554" s="35"/>
      <c r="N554" s="41"/>
      <c r="O554" s="41"/>
      <c r="P554" s="41"/>
      <c r="Q554" s="41"/>
      <c r="R554" s="41"/>
    </row>
    <row r="555">
      <c r="C555" s="35"/>
      <c r="E555" s="35"/>
      <c r="G555" s="35"/>
      <c r="I555" s="35"/>
      <c r="K555" s="35"/>
      <c r="L555" s="35"/>
      <c r="N555" s="41"/>
      <c r="O555" s="41"/>
      <c r="P555" s="41"/>
      <c r="Q555" s="41"/>
      <c r="R555" s="41"/>
    </row>
    <row r="556">
      <c r="C556" s="35"/>
      <c r="E556" s="35"/>
      <c r="G556" s="35"/>
      <c r="I556" s="35"/>
      <c r="K556" s="35"/>
      <c r="L556" s="35"/>
      <c r="N556" s="41"/>
      <c r="O556" s="41"/>
      <c r="P556" s="41"/>
      <c r="Q556" s="41"/>
      <c r="R556" s="41"/>
    </row>
    <row r="557">
      <c r="C557" s="35"/>
      <c r="E557" s="35"/>
      <c r="G557" s="35"/>
      <c r="I557" s="35"/>
      <c r="K557" s="35"/>
      <c r="L557" s="35"/>
      <c r="N557" s="41"/>
      <c r="O557" s="41"/>
      <c r="P557" s="41"/>
      <c r="Q557" s="41"/>
      <c r="R557" s="41"/>
    </row>
    <row r="558">
      <c r="C558" s="35"/>
      <c r="E558" s="35"/>
      <c r="G558" s="35"/>
      <c r="I558" s="35"/>
      <c r="K558" s="35"/>
      <c r="L558" s="35"/>
      <c r="N558" s="41"/>
      <c r="O558" s="41"/>
      <c r="P558" s="41"/>
      <c r="Q558" s="41"/>
      <c r="R558" s="41"/>
    </row>
    <row r="559">
      <c r="C559" s="35"/>
      <c r="E559" s="35"/>
      <c r="G559" s="35"/>
      <c r="I559" s="35"/>
      <c r="K559" s="35"/>
      <c r="L559" s="35"/>
      <c r="N559" s="41"/>
      <c r="O559" s="41"/>
      <c r="P559" s="41"/>
      <c r="Q559" s="41"/>
      <c r="R559" s="41"/>
    </row>
    <row r="560">
      <c r="C560" s="35"/>
      <c r="E560" s="35"/>
      <c r="G560" s="35"/>
      <c r="I560" s="35"/>
      <c r="K560" s="35"/>
      <c r="L560" s="35"/>
      <c r="N560" s="41"/>
      <c r="O560" s="41"/>
      <c r="P560" s="41"/>
      <c r="Q560" s="41"/>
      <c r="R560" s="41"/>
    </row>
    <row r="561">
      <c r="C561" s="35"/>
      <c r="E561" s="35"/>
      <c r="G561" s="35"/>
      <c r="I561" s="35"/>
      <c r="K561" s="35"/>
      <c r="L561" s="35"/>
      <c r="N561" s="41"/>
      <c r="O561" s="41"/>
      <c r="P561" s="41"/>
      <c r="Q561" s="41"/>
      <c r="R561" s="41"/>
    </row>
    <row r="562">
      <c r="C562" s="35"/>
      <c r="E562" s="35"/>
      <c r="G562" s="35"/>
      <c r="I562" s="35"/>
      <c r="K562" s="35"/>
      <c r="L562" s="35"/>
      <c r="N562" s="41"/>
      <c r="O562" s="41"/>
      <c r="P562" s="41"/>
      <c r="Q562" s="41"/>
      <c r="R562" s="41"/>
    </row>
    <row r="563">
      <c r="C563" s="35"/>
      <c r="E563" s="35"/>
      <c r="G563" s="35"/>
      <c r="I563" s="35"/>
      <c r="K563" s="35"/>
      <c r="L563" s="35"/>
      <c r="N563" s="41"/>
      <c r="O563" s="41"/>
      <c r="P563" s="41"/>
      <c r="Q563" s="41"/>
      <c r="R563" s="41"/>
    </row>
    <row r="564">
      <c r="C564" s="35"/>
      <c r="E564" s="35"/>
      <c r="G564" s="35"/>
      <c r="I564" s="35"/>
      <c r="K564" s="35"/>
      <c r="L564" s="35"/>
      <c r="N564" s="41"/>
      <c r="O564" s="41"/>
      <c r="P564" s="41"/>
      <c r="Q564" s="41"/>
      <c r="R564" s="41"/>
    </row>
    <row r="565">
      <c r="C565" s="35"/>
      <c r="E565" s="35"/>
      <c r="G565" s="35"/>
      <c r="I565" s="35"/>
      <c r="K565" s="35"/>
      <c r="L565" s="35"/>
      <c r="N565" s="41"/>
      <c r="O565" s="41"/>
      <c r="P565" s="41"/>
      <c r="Q565" s="41"/>
      <c r="R565" s="41"/>
    </row>
    <row r="566">
      <c r="C566" s="35"/>
      <c r="E566" s="35"/>
      <c r="G566" s="35"/>
      <c r="I566" s="35"/>
      <c r="K566" s="35"/>
      <c r="L566" s="35"/>
      <c r="N566" s="41"/>
      <c r="O566" s="41"/>
      <c r="P566" s="41"/>
      <c r="Q566" s="41"/>
      <c r="R566" s="41"/>
    </row>
    <row r="567">
      <c r="C567" s="35"/>
      <c r="E567" s="35"/>
      <c r="G567" s="35"/>
      <c r="I567" s="35"/>
      <c r="K567" s="35"/>
      <c r="L567" s="35"/>
      <c r="N567" s="41"/>
      <c r="O567" s="41"/>
      <c r="P567" s="41"/>
      <c r="Q567" s="41"/>
      <c r="R567" s="41"/>
    </row>
    <row r="568">
      <c r="C568" s="35"/>
      <c r="E568" s="35"/>
      <c r="G568" s="35"/>
      <c r="I568" s="35"/>
      <c r="K568" s="35"/>
      <c r="L568" s="35"/>
      <c r="N568" s="41"/>
      <c r="O568" s="41"/>
      <c r="P568" s="41"/>
      <c r="Q568" s="41"/>
      <c r="R568" s="41"/>
    </row>
    <row r="569">
      <c r="C569" s="35"/>
      <c r="E569" s="35"/>
      <c r="G569" s="35"/>
      <c r="I569" s="35"/>
      <c r="K569" s="35"/>
      <c r="L569" s="35"/>
      <c r="N569" s="41"/>
      <c r="O569" s="41"/>
      <c r="P569" s="41"/>
      <c r="Q569" s="41"/>
      <c r="R569" s="41"/>
    </row>
    <row r="570">
      <c r="C570" s="35"/>
      <c r="E570" s="35"/>
      <c r="G570" s="35"/>
      <c r="I570" s="35"/>
      <c r="K570" s="35"/>
      <c r="L570" s="35"/>
      <c r="N570" s="41"/>
      <c r="O570" s="41"/>
      <c r="P570" s="41"/>
      <c r="Q570" s="41"/>
      <c r="R570" s="41"/>
    </row>
    <row r="571">
      <c r="C571" s="35"/>
      <c r="E571" s="35"/>
      <c r="G571" s="35"/>
      <c r="I571" s="35"/>
      <c r="K571" s="35"/>
      <c r="L571" s="35"/>
      <c r="N571" s="41"/>
      <c r="O571" s="41"/>
      <c r="P571" s="41"/>
      <c r="Q571" s="41"/>
      <c r="R571" s="41"/>
    </row>
    <row r="572">
      <c r="C572" s="35"/>
      <c r="E572" s="35"/>
      <c r="G572" s="35"/>
      <c r="I572" s="35"/>
      <c r="K572" s="35"/>
      <c r="L572" s="35"/>
      <c r="N572" s="41"/>
      <c r="O572" s="41"/>
      <c r="P572" s="41"/>
      <c r="Q572" s="41"/>
      <c r="R572" s="41"/>
    </row>
    <row r="573">
      <c r="C573" s="35"/>
      <c r="E573" s="35"/>
      <c r="G573" s="35"/>
      <c r="I573" s="35"/>
      <c r="K573" s="35"/>
      <c r="L573" s="35"/>
      <c r="N573" s="41"/>
      <c r="O573" s="41"/>
      <c r="P573" s="41"/>
      <c r="Q573" s="41"/>
      <c r="R573" s="41"/>
    </row>
    <row r="574">
      <c r="C574" s="35"/>
      <c r="E574" s="35"/>
      <c r="G574" s="35"/>
      <c r="I574" s="35"/>
      <c r="K574" s="35"/>
      <c r="L574" s="35"/>
      <c r="N574" s="41"/>
      <c r="O574" s="41"/>
      <c r="P574" s="41"/>
      <c r="Q574" s="41"/>
      <c r="R574" s="41"/>
    </row>
    <row r="575">
      <c r="C575" s="35"/>
      <c r="E575" s="35"/>
      <c r="G575" s="35"/>
      <c r="I575" s="35"/>
      <c r="K575" s="35"/>
      <c r="L575" s="35"/>
      <c r="N575" s="41"/>
      <c r="O575" s="41"/>
      <c r="P575" s="41"/>
      <c r="Q575" s="41"/>
      <c r="R575" s="41"/>
    </row>
    <row r="576">
      <c r="C576" s="35"/>
      <c r="E576" s="35"/>
      <c r="G576" s="35"/>
      <c r="I576" s="35"/>
      <c r="K576" s="35"/>
      <c r="L576" s="35"/>
      <c r="N576" s="41"/>
      <c r="O576" s="41"/>
      <c r="P576" s="41"/>
      <c r="Q576" s="41"/>
      <c r="R576" s="41"/>
    </row>
    <row r="577">
      <c r="C577" s="35"/>
      <c r="E577" s="35"/>
      <c r="G577" s="35"/>
      <c r="I577" s="35"/>
      <c r="K577" s="35"/>
      <c r="L577" s="35"/>
      <c r="N577" s="41"/>
      <c r="O577" s="41"/>
      <c r="P577" s="41"/>
      <c r="Q577" s="41"/>
      <c r="R577" s="41"/>
    </row>
    <row r="578">
      <c r="C578" s="35"/>
      <c r="E578" s="35"/>
      <c r="G578" s="35"/>
      <c r="I578" s="35"/>
      <c r="K578" s="35"/>
      <c r="L578" s="35"/>
      <c r="N578" s="41"/>
      <c r="O578" s="41"/>
      <c r="P578" s="41"/>
      <c r="Q578" s="41"/>
      <c r="R578" s="41"/>
    </row>
    <row r="579">
      <c r="C579" s="35"/>
      <c r="E579" s="35"/>
      <c r="G579" s="35"/>
      <c r="I579" s="35"/>
      <c r="K579" s="35"/>
      <c r="L579" s="35"/>
      <c r="N579" s="41"/>
      <c r="O579" s="41"/>
      <c r="P579" s="41"/>
      <c r="Q579" s="41"/>
      <c r="R579" s="41"/>
    </row>
    <row r="580">
      <c r="C580" s="35"/>
      <c r="E580" s="35"/>
      <c r="G580" s="35"/>
      <c r="I580" s="35"/>
      <c r="K580" s="35"/>
      <c r="L580" s="35"/>
      <c r="N580" s="41"/>
      <c r="O580" s="41"/>
      <c r="P580" s="41"/>
      <c r="Q580" s="41"/>
      <c r="R580" s="41"/>
    </row>
    <row r="581">
      <c r="C581" s="35"/>
      <c r="E581" s="35"/>
      <c r="G581" s="35"/>
      <c r="I581" s="35"/>
      <c r="K581" s="35"/>
      <c r="L581" s="35"/>
      <c r="N581" s="41"/>
      <c r="O581" s="41"/>
      <c r="P581" s="41"/>
      <c r="Q581" s="41"/>
      <c r="R581" s="41"/>
    </row>
    <row r="582">
      <c r="C582" s="35"/>
      <c r="E582" s="35"/>
      <c r="G582" s="35"/>
      <c r="I582" s="35"/>
      <c r="K582" s="35"/>
      <c r="L582" s="35"/>
      <c r="N582" s="41"/>
      <c r="O582" s="41"/>
      <c r="P582" s="41"/>
      <c r="Q582" s="41"/>
      <c r="R582" s="41"/>
    </row>
    <row r="583">
      <c r="C583" s="35"/>
      <c r="E583" s="35"/>
      <c r="G583" s="35"/>
      <c r="I583" s="35"/>
      <c r="K583" s="35"/>
      <c r="L583" s="35"/>
      <c r="N583" s="41"/>
      <c r="O583" s="41"/>
      <c r="P583" s="41"/>
      <c r="Q583" s="41"/>
      <c r="R583" s="41"/>
    </row>
    <row r="584">
      <c r="C584" s="35"/>
      <c r="E584" s="35"/>
      <c r="G584" s="35"/>
      <c r="I584" s="35"/>
      <c r="K584" s="35"/>
      <c r="L584" s="35"/>
      <c r="N584" s="41"/>
      <c r="O584" s="41"/>
      <c r="P584" s="41"/>
      <c r="Q584" s="41"/>
      <c r="R584" s="41"/>
    </row>
    <row r="585">
      <c r="C585" s="35"/>
      <c r="E585" s="35"/>
      <c r="G585" s="35"/>
      <c r="I585" s="35"/>
      <c r="K585" s="35"/>
      <c r="L585" s="35"/>
      <c r="N585" s="41"/>
      <c r="O585" s="41"/>
      <c r="P585" s="41"/>
      <c r="Q585" s="41"/>
      <c r="R585" s="41"/>
    </row>
    <row r="586">
      <c r="C586" s="35"/>
      <c r="E586" s="35"/>
      <c r="G586" s="35"/>
      <c r="I586" s="35"/>
      <c r="K586" s="35"/>
      <c r="L586" s="35"/>
      <c r="N586" s="41"/>
      <c r="O586" s="41"/>
      <c r="P586" s="41"/>
      <c r="Q586" s="41"/>
      <c r="R586" s="41"/>
    </row>
    <row r="587">
      <c r="C587" s="35"/>
      <c r="E587" s="35"/>
      <c r="G587" s="35"/>
      <c r="I587" s="35"/>
      <c r="K587" s="35"/>
      <c r="L587" s="35"/>
      <c r="N587" s="41"/>
      <c r="O587" s="41"/>
      <c r="P587" s="41"/>
      <c r="Q587" s="41"/>
      <c r="R587" s="41"/>
    </row>
    <row r="588">
      <c r="C588" s="35"/>
      <c r="E588" s="35"/>
      <c r="G588" s="35"/>
      <c r="I588" s="35"/>
      <c r="K588" s="35"/>
      <c r="L588" s="35"/>
      <c r="N588" s="41"/>
      <c r="O588" s="41"/>
      <c r="P588" s="41"/>
      <c r="Q588" s="41"/>
      <c r="R588" s="41"/>
    </row>
    <row r="589">
      <c r="C589" s="35"/>
      <c r="E589" s="35"/>
      <c r="G589" s="35"/>
      <c r="I589" s="35"/>
      <c r="K589" s="35"/>
      <c r="L589" s="35"/>
      <c r="N589" s="41"/>
      <c r="O589" s="41"/>
      <c r="P589" s="41"/>
      <c r="Q589" s="41"/>
      <c r="R589" s="41"/>
    </row>
    <row r="590">
      <c r="C590" s="35"/>
      <c r="E590" s="35"/>
      <c r="G590" s="35"/>
      <c r="I590" s="35"/>
      <c r="K590" s="35"/>
      <c r="L590" s="35"/>
      <c r="N590" s="41"/>
      <c r="O590" s="41"/>
      <c r="P590" s="41"/>
      <c r="Q590" s="41"/>
      <c r="R590" s="41"/>
    </row>
    <row r="591">
      <c r="C591" s="35"/>
      <c r="E591" s="35"/>
      <c r="G591" s="35"/>
      <c r="I591" s="35"/>
      <c r="K591" s="35"/>
      <c r="L591" s="35"/>
      <c r="N591" s="41"/>
      <c r="O591" s="41"/>
      <c r="P591" s="41"/>
      <c r="Q591" s="41"/>
      <c r="R591" s="41"/>
    </row>
    <row r="592">
      <c r="C592" s="35"/>
      <c r="E592" s="35"/>
      <c r="G592" s="35"/>
      <c r="I592" s="35"/>
      <c r="K592" s="35"/>
      <c r="L592" s="35"/>
      <c r="N592" s="41"/>
      <c r="O592" s="41"/>
      <c r="P592" s="41"/>
      <c r="Q592" s="41"/>
      <c r="R592" s="41"/>
    </row>
    <row r="593">
      <c r="C593" s="35"/>
      <c r="E593" s="35"/>
      <c r="G593" s="35"/>
      <c r="I593" s="35"/>
      <c r="K593" s="35"/>
      <c r="L593" s="35"/>
      <c r="N593" s="41"/>
      <c r="O593" s="41"/>
      <c r="P593" s="41"/>
      <c r="Q593" s="41"/>
      <c r="R593" s="41"/>
    </row>
    <row r="594">
      <c r="C594" s="35"/>
      <c r="E594" s="35"/>
      <c r="G594" s="35"/>
      <c r="I594" s="35"/>
      <c r="K594" s="35"/>
      <c r="L594" s="35"/>
      <c r="N594" s="41"/>
      <c r="O594" s="41"/>
      <c r="P594" s="41"/>
      <c r="Q594" s="41"/>
      <c r="R594" s="41"/>
    </row>
    <row r="595">
      <c r="C595" s="35"/>
      <c r="E595" s="35"/>
      <c r="G595" s="35"/>
      <c r="I595" s="35"/>
      <c r="K595" s="35"/>
      <c r="L595" s="35"/>
      <c r="N595" s="41"/>
      <c r="O595" s="41"/>
      <c r="P595" s="41"/>
      <c r="Q595" s="41"/>
      <c r="R595" s="41"/>
    </row>
    <row r="596">
      <c r="C596" s="35"/>
      <c r="E596" s="35"/>
      <c r="G596" s="35"/>
      <c r="I596" s="35"/>
      <c r="K596" s="35"/>
      <c r="L596" s="35"/>
      <c r="N596" s="41"/>
      <c r="O596" s="41"/>
      <c r="P596" s="41"/>
      <c r="Q596" s="41"/>
      <c r="R596" s="41"/>
    </row>
    <row r="597">
      <c r="C597" s="35"/>
      <c r="E597" s="35"/>
      <c r="G597" s="35"/>
      <c r="I597" s="35"/>
      <c r="K597" s="35"/>
      <c r="L597" s="35"/>
      <c r="N597" s="41"/>
      <c r="O597" s="41"/>
      <c r="P597" s="41"/>
      <c r="Q597" s="41"/>
      <c r="R597" s="41"/>
    </row>
    <row r="598">
      <c r="C598" s="35"/>
      <c r="E598" s="35"/>
      <c r="G598" s="35"/>
      <c r="I598" s="35"/>
      <c r="K598" s="35"/>
      <c r="L598" s="35"/>
      <c r="N598" s="41"/>
      <c r="O598" s="41"/>
      <c r="P598" s="41"/>
      <c r="Q598" s="41"/>
      <c r="R598" s="41"/>
    </row>
    <row r="599">
      <c r="C599" s="35"/>
      <c r="E599" s="35"/>
      <c r="G599" s="35"/>
      <c r="I599" s="35"/>
      <c r="K599" s="35"/>
      <c r="L599" s="35"/>
      <c r="N599" s="41"/>
      <c r="O599" s="41"/>
      <c r="P599" s="41"/>
      <c r="Q599" s="41"/>
      <c r="R599" s="41"/>
    </row>
    <row r="600">
      <c r="C600" s="35"/>
      <c r="E600" s="35"/>
      <c r="G600" s="35"/>
      <c r="I600" s="35"/>
      <c r="K600" s="35"/>
      <c r="L600" s="35"/>
      <c r="N600" s="41"/>
      <c r="O600" s="41"/>
      <c r="P600" s="41"/>
      <c r="Q600" s="41"/>
      <c r="R600" s="41"/>
    </row>
    <row r="601">
      <c r="C601" s="35"/>
      <c r="E601" s="35"/>
      <c r="G601" s="35"/>
      <c r="I601" s="35"/>
      <c r="K601" s="35"/>
      <c r="L601" s="35"/>
      <c r="N601" s="41"/>
      <c r="O601" s="41"/>
      <c r="P601" s="41"/>
      <c r="Q601" s="41"/>
      <c r="R601" s="41"/>
    </row>
    <row r="602">
      <c r="C602" s="35"/>
      <c r="E602" s="35"/>
      <c r="G602" s="35"/>
      <c r="I602" s="35"/>
      <c r="K602" s="35"/>
      <c r="L602" s="35"/>
      <c r="N602" s="41"/>
      <c r="O602" s="41"/>
      <c r="P602" s="41"/>
      <c r="Q602" s="41"/>
      <c r="R602" s="41"/>
    </row>
    <row r="603">
      <c r="C603" s="35"/>
      <c r="E603" s="35"/>
      <c r="G603" s="35"/>
      <c r="I603" s="35"/>
      <c r="K603" s="35"/>
      <c r="L603" s="35"/>
      <c r="N603" s="41"/>
      <c r="O603" s="41"/>
      <c r="P603" s="41"/>
      <c r="Q603" s="41"/>
      <c r="R603" s="41"/>
    </row>
    <row r="604">
      <c r="C604" s="35"/>
      <c r="E604" s="35"/>
      <c r="G604" s="35"/>
      <c r="I604" s="35"/>
      <c r="K604" s="35"/>
      <c r="L604" s="35"/>
      <c r="N604" s="41"/>
      <c r="O604" s="41"/>
      <c r="P604" s="41"/>
      <c r="Q604" s="41"/>
      <c r="R604" s="41"/>
    </row>
    <row r="605">
      <c r="C605" s="35"/>
      <c r="E605" s="35"/>
      <c r="G605" s="35"/>
      <c r="I605" s="35"/>
      <c r="K605" s="35"/>
      <c r="L605" s="35"/>
      <c r="N605" s="41"/>
      <c r="O605" s="41"/>
      <c r="P605" s="41"/>
      <c r="Q605" s="41"/>
      <c r="R605" s="41"/>
    </row>
    <row r="606">
      <c r="C606" s="35"/>
      <c r="E606" s="35"/>
      <c r="G606" s="35"/>
      <c r="I606" s="35"/>
      <c r="K606" s="35"/>
      <c r="L606" s="35"/>
      <c r="N606" s="41"/>
      <c r="O606" s="41"/>
      <c r="P606" s="41"/>
      <c r="Q606" s="41"/>
      <c r="R606" s="41"/>
    </row>
    <row r="607">
      <c r="C607" s="35"/>
      <c r="E607" s="35"/>
      <c r="G607" s="35"/>
      <c r="I607" s="35"/>
      <c r="K607" s="35"/>
      <c r="L607" s="35"/>
      <c r="N607" s="41"/>
      <c r="O607" s="41"/>
      <c r="P607" s="41"/>
      <c r="Q607" s="41"/>
      <c r="R607" s="41"/>
    </row>
    <row r="608">
      <c r="C608" s="35"/>
      <c r="E608" s="35"/>
      <c r="G608" s="35"/>
      <c r="I608" s="35"/>
      <c r="K608" s="35"/>
      <c r="L608" s="35"/>
      <c r="N608" s="41"/>
      <c r="O608" s="41"/>
      <c r="P608" s="41"/>
      <c r="Q608" s="41"/>
      <c r="R608" s="41"/>
    </row>
    <row r="609">
      <c r="C609" s="35"/>
      <c r="E609" s="35"/>
      <c r="G609" s="35"/>
      <c r="I609" s="35"/>
      <c r="K609" s="35"/>
      <c r="L609" s="35"/>
      <c r="N609" s="41"/>
      <c r="O609" s="41"/>
      <c r="P609" s="41"/>
      <c r="Q609" s="41"/>
      <c r="R609" s="41"/>
    </row>
    <row r="610">
      <c r="C610" s="35"/>
      <c r="E610" s="35"/>
      <c r="G610" s="35"/>
      <c r="I610" s="35"/>
      <c r="K610" s="35"/>
      <c r="L610" s="35"/>
      <c r="N610" s="41"/>
      <c r="O610" s="41"/>
      <c r="P610" s="41"/>
      <c r="Q610" s="41"/>
      <c r="R610" s="41"/>
    </row>
    <row r="611">
      <c r="C611" s="35"/>
      <c r="E611" s="35"/>
      <c r="G611" s="35"/>
      <c r="I611" s="35"/>
      <c r="K611" s="35"/>
      <c r="L611" s="35"/>
      <c r="N611" s="41"/>
      <c r="O611" s="41"/>
      <c r="P611" s="41"/>
      <c r="Q611" s="41"/>
      <c r="R611" s="41"/>
    </row>
    <row r="612">
      <c r="C612" s="35"/>
      <c r="E612" s="35"/>
      <c r="G612" s="35"/>
      <c r="I612" s="35"/>
      <c r="K612" s="35"/>
      <c r="L612" s="35"/>
      <c r="N612" s="41"/>
      <c r="O612" s="41"/>
      <c r="P612" s="41"/>
      <c r="Q612" s="41"/>
      <c r="R612" s="41"/>
    </row>
    <row r="613">
      <c r="C613" s="35"/>
      <c r="E613" s="35"/>
      <c r="G613" s="35"/>
      <c r="I613" s="35"/>
      <c r="K613" s="35"/>
      <c r="L613" s="35"/>
      <c r="N613" s="41"/>
      <c r="O613" s="41"/>
      <c r="P613" s="41"/>
      <c r="Q613" s="41"/>
      <c r="R613" s="41"/>
    </row>
    <row r="614">
      <c r="C614" s="35"/>
      <c r="E614" s="35"/>
      <c r="G614" s="35"/>
      <c r="I614" s="35"/>
      <c r="K614" s="35"/>
      <c r="L614" s="35"/>
      <c r="N614" s="41"/>
      <c r="O614" s="41"/>
      <c r="P614" s="41"/>
      <c r="Q614" s="41"/>
      <c r="R614" s="41"/>
    </row>
    <row r="615">
      <c r="C615" s="35"/>
      <c r="E615" s="35"/>
      <c r="G615" s="35"/>
      <c r="I615" s="35"/>
      <c r="K615" s="35"/>
      <c r="L615" s="35"/>
      <c r="N615" s="41"/>
      <c r="O615" s="41"/>
      <c r="P615" s="41"/>
      <c r="Q615" s="41"/>
      <c r="R615" s="41"/>
    </row>
    <row r="616">
      <c r="C616" s="35"/>
      <c r="E616" s="35"/>
      <c r="G616" s="35"/>
      <c r="I616" s="35"/>
      <c r="K616" s="35"/>
      <c r="L616" s="35"/>
      <c r="N616" s="41"/>
      <c r="O616" s="41"/>
      <c r="P616" s="41"/>
      <c r="Q616" s="41"/>
      <c r="R616" s="41"/>
    </row>
    <row r="617">
      <c r="C617" s="35"/>
      <c r="E617" s="35"/>
      <c r="G617" s="35"/>
      <c r="I617" s="35"/>
      <c r="K617" s="35"/>
      <c r="L617" s="35"/>
      <c r="N617" s="41"/>
      <c r="O617" s="41"/>
      <c r="P617" s="41"/>
      <c r="Q617" s="41"/>
      <c r="R617" s="41"/>
    </row>
    <row r="618">
      <c r="C618" s="35"/>
      <c r="E618" s="35"/>
      <c r="G618" s="35"/>
      <c r="I618" s="35"/>
      <c r="K618" s="35"/>
      <c r="L618" s="35"/>
      <c r="N618" s="41"/>
      <c r="O618" s="41"/>
      <c r="P618" s="41"/>
      <c r="Q618" s="41"/>
      <c r="R618" s="41"/>
    </row>
    <row r="619">
      <c r="C619" s="35"/>
      <c r="E619" s="35"/>
      <c r="G619" s="35"/>
      <c r="I619" s="35"/>
      <c r="K619" s="35"/>
      <c r="L619" s="35"/>
      <c r="N619" s="41"/>
      <c r="O619" s="41"/>
      <c r="P619" s="41"/>
      <c r="Q619" s="41"/>
      <c r="R619" s="41"/>
    </row>
    <row r="620">
      <c r="C620" s="35"/>
      <c r="E620" s="35"/>
      <c r="G620" s="35"/>
      <c r="I620" s="35"/>
      <c r="K620" s="35"/>
      <c r="L620" s="35"/>
      <c r="N620" s="41"/>
      <c r="O620" s="41"/>
      <c r="P620" s="41"/>
      <c r="Q620" s="41"/>
      <c r="R620" s="41"/>
    </row>
    <row r="621">
      <c r="C621" s="35"/>
      <c r="E621" s="35"/>
      <c r="G621" s="35"/>
      <c r="I621" s="35"/>
      <c r="K621" s="35"/>
      <c r="L621" s="35"/>
      <c r="N621" s="41"/>
      <c r="O621" s="41"/>
      <c r="P621" s="41"/>
      <c r="Q621" s="41"/>
      <c r="R621" s="41"/>
    </row>
    <row r="622">
      <c r="C622" s="35"/>
      <c r="E622" s="35"/>
      <c r="G622" s="35"/>
      <c r="I622" s="35"/>
      <c r="K622" s="35"/>
      <c r="L622" s="35"/>
      <c r="N622" s="41"/>
      <c r="O622" s="41"/>
      <c r="P622" s="41"/>
      <c r="Q622" s="41"/>
      <c r="R622" s="41"/>
    </row>
    <row r="623">
      <c r="C623" s="35"/>
      <c r="E623" s="35"/>
      <c r="G623" s="35"/>
      <c r="I623" s="35"/>
      <c r="K623" s="35"/>
      <c r="L623" s="35"/>
      <c r="N623" s="41"/>
      <c r="O623" s="41"/>
      <c r="P623" s="41"/>
      <c r="Q623" s="41"/>
      <c r="R623" s="41"/>
    </row>
    <row r="624">
      <c r="C624" s="35"/>
      <c r="E624" s="35"/>
      <c r="G624" s="35"/>
      <c r="I624" s="35"/>
      <c r="K624" s="35"/>
      <c r="L624" s="35"/>
      <c r="N624" s="41"/>
      <c r="O624" s="41"/>
      <c r="P624" s="41"/>
      <c r="Q624" s="41"/>
      <c r="R624" s="41"/>
    </row>
    <row r="625">
      <c r="C625" s="35"/>
      <c r="E625" s="35"/>
      <c r="G625" s="35"/>
      <c r="I625" s="35"/>
      <c r="K625" s="35"/>
      <c r="L625" s="35"/>
      <c r="N625" s="41"/>
      <c r="O625" s="41"/>
      <c r="P625" s="41"/>
      <c r="Q625" s="41"/>
      <c r="R625" s="41"/>
    </row>
    <row r="626">
      <c r="C626" s="35"/>
      <c r="E626" s="35"/>
      <c r="G626" s="35"/>
      <c r="I626" s="35"/>
      <c r="K626" s="35"/>
      <c r="L626" s="35"/>
      <c r="N626" s="41"/>
      <c r="O626" s="41"/>
      <c r="P626" s="41"/>
      <c r="Q626" s="41"/>
      <c r="R626" s="41"/>
    </row>
    <row r="627">
      <c r="C627" s="35"/>
      <c r="E627" s="35"/>
      <c r="G627" s="35"/>
      <c r="I627" s="35"/>
      <c r="K627" s="35"/>
      <c r="L627" s="35"/>
      <c r="N627" s="41"/>
      <c r="O627" s="41"/>
      <c r="P627" s="41"/>
      <c r="Q627" s="41"/>
      <c r="R627" s="41"/>
    </row>
    <row r="628">
      <c r="C628" s="35"/>
      <c r="E628" s="35"/>
      <c r="G628" s="35"/>
      <c r="I628" s="35"/>
      <c r="K628" s="35"/>
      <c r="L628" s="35"/>
      <c r="N628" s="41"/>
      <c r="O628" s="41"/>
      <c r="P628" s="41"/>
      <c r="Q628" s="41"/>
      <c r="R628" s="41"/>
    </row>
    <row r="629">
      <c r="C629" s="35"/>
      <c r="E629" s="35"/>
      <c r="G629" s="35"/>
      <c r="I629" s="35"/>
      <c r="K629" s="35"/>
      <c r="L629" s="35"/>
      <c r="N629" s="41"/>
      <c r="O629" s="41"/>
      <c r="P629" s="41"/>
      <c r="Q629" s="41"/>
      <c r="R629" s="41"/>
    </row>
    <row r="630">
      <c r="C630" s="35"/>
      <c r="E630" s="35"/>
      <c r="G630" s="35"/>
      <c r="I630" s="35"/>
      <c r="K630" s="35"/>
      <c r="L630" s="35"/>
      <c r="N630" s="41"/>
      <c r="O630" s="41"/>
      <c r="P630" s="41"/>
      <c r="Q630" s="41"/>
      <c r="R630" s="41"/>
    </row>
    <row r="631">
      <c r="C631" s="35"/>
      <c r="E631" s="35"/>
      <c r="G631" s="35"/>
      <c r="I631" s="35"/>
      <c r="K631" s="35"/>
      <c r="L631" s="35"/>
      <c r="N631" s="41"/>
      <c r="O631" s="41"/>
      <c r="P631" s="41"/>
      <c r="Q631" s="41"/>
      <c r="R631" s="41"/>
    </row>
    <row r="632">
      <c r="C632" s="35"/>
      <c r="E632" s="35"/>
      <c r="G632" s="35"/>
      <c r="I632" s="35"/>
      <c r="K632" s="35"/>
      <c r="L632" s="35"/>
      <c r="N632" s="41"/>
      <c r="O632" s="41"/>
      <c r="P632" s="41"/>
      <c r="Q632" s="41"/>
      <c r="R632" s="41"/>
    </row>
    <row r="633">
      <c r="C633" s="35"/>
      <c r="E633" s="35"/>
      <c r="G633" s="35"/>
      <c r="I633" s="35"/>
      <c r="K633" s="35"/>
      <c r="L633" s="35"/>
      <c r="N633" s="41"/>
      <c r="O633" s="41"/>
      <c r="P633" s="41"/>
      <c r="Q633" s="41"/>
      <c r="R633" s="41"/>
    </row>
    <row r="634">
      <c r="C634" s="35"/>
      <c r="E634" s="35"/>
      <c r="G634" s="35"/>
      <c r="I634" s="35"/>
      <c r="K634" s="35"/>
      <c r="L634" s="35"/>
      <c r="N634" s="41"/>
      <c r="O634" s="41"/>
      <c r="P634" s="41"/>
      <c r="Q634" s="41"/>
      <c r="R634" s="41"/>
    </row>
    <row r="635">
      <c r="C635" s="35"/>
      <c r="E635" s="35"/>
      <c r="G635" s="35"/>
      <c r="I635" s="35"/>
      <c r="K635" s="35"/>
      <c r="L635" s="35"/>
      <c r="N635" s="41"/>
      <c r="O635" s="41"/>
      <c r="P635" s="41"/>
      <c r="Q635" s="41"/>
      <c r="R635" s="41"/>
    </row>
    <row r="636">
      <c r="C636" s="35"/>
      <c r="E636" s="35"/>
      <c r="G636" s="35"/>
      <c r="I636" s="35"/>
      <c r="K636" s="35"/>
      <c r="L636" s="35"/>
      <c r="N636" s="41"/>
      <c r="O636" s="41"/>
      <c r="P636" s="41"/>
      <c r="Q636" s="41"/>
      <c r="R636" s="41"/>
    </row>
    <row r="637">
      <c r="C637" s="35"/>
      <c r="E637" s="35"/>
      <c r="G637" s="35"/>
      <c r="I637" s="35"/>
      <c r="K637" s="35"/>
      <c r="L637" s="35"/>
      <c r="N637" s="41"/>
      <c r="O637" s="41"/>
      <c r="P637" s="41"/>
      <c r="Q637" s="41"/>
      <c r="R637" s="41"/>
    </row>
    <row r="638">
      <c r="C638" s="35"/>
      <c r="E638" s="35"/>
      <c r="G638" s="35"/>
      <c r="I638" s="35"/>
      <c r="K638" s="35"/>
      <c r="L638" s="35"/>
      <c r="N638" s="41"/>
      <c r="O638" s="41"/>
      <c r="P638" s="41"/>
      <c r="Q638" s="41"/>
      <c r="R638" s="41"/>
    </row>
    <row r="639">
      <c r="C639" s="35"/>
      <c r="E639" s="35"/>
      <c r="G639" s="35"/>
      <c r="I639" s="35"/>
      <c r="K639" s="35"/>
      <c r="L639" s="35"/>
      <c r="N639" s="41"/>
      <c r="O639" s="41"/>
      <c r="P639" s="41"/>
      <c r="Q639" s="41"/>
      <c r="R639" s="41"/>
    </row>
    <row r="640">
      <c r="C640" s="35"/>
      <c r="E640" s="35"/>
      <c r="G640" s="35"/>
      <c r="I640" s="35"/>
      <c r="K640" s="35"/>
      <c r="L640" s="35"/>
      <c r="N640" s="41"/>
      <c r="O640" s="41"/>
      <c r="P640" s="41"/>
      <c r="Q640" s="41"/>
      <c r="R640" s="41"/>
    </row>
    <row r="641">
      <c r="C641" s="35"/>
      <c r="E641" s="35"/>
      <c r="G641" s="35"/>
      <c r="I641" s="35"/>
      <c r="K641" s="35"/>
      <c r="L641" s="35"/>
      <c r="N641" s="41"/>
      <c r="O641" s="41"/>
      <c r="P641" s="41"/>
      <c r="Q641" s="41"/>
      <c r="R641" s="41"/>
    </row>
    <row r="642">
      <c r="C642" s="35"/>
      <c r="E642" s="35"/>
      <c r="G642" s="35"/>
      <c r="I642" s="35"/>
      <c r="K642" s="35"/>
      <c r="L642" s="35"/>
      <c r="N642" s="41"/>
      <c r="O642" s="41"/>
      <c r="P642" s="41"/>
      <c r="Q642" s="41"/>
      <c r="R642" s="41"/>
    </row>
    <row r="643">
      <c r="C643" s="35"/>
      <c r="E643" s="35"/>
      <c r="G643" s="35"/>
      <c r="I643" s="35"/>
      <c r="K643" s="35"/>
      <c r="L643" s="35"/>
      <c r="N643" s="41"/>
      <c r="O643" s="41"/>
      <c r="P643" s="41"/>
      <c r="Q643" s="41"/>
      <c r="R643" s="41"/>
    </row>
    <row r="644">
      <c r="C644" s="35"/>
      <c r="E644" s="35"/>
      <c r="G644" s="35"/>
      <c r="I644" s="35"/>
      <c r="K644" s="35"/>
      <c r="L644" s="35"/>
      <c r="N644" s="41"/>
      <c r="O644" s="41"/>
      <c r="P644" s="41"/>
      <c r="Q644" s="41"/>
      <c r="R644" s="41"/>
    </row>
    <row r="645">
      <c r="C645" s="35"/>
      <c r="E645" s="35"/>
      <c r="G645" s="35"/>
      <c r="I645" s="35"/>
      <c r="K645" s="35"/>
      <c r="L645" s="35"/>
      <c r="N645" s="41"/>
      <c r="O645" s="41"/>
      <c r="P645" s="41"/>
      <c r="Q645" s="41"/>
      <c r="R645" s="41"/>
    </row>
    <row r="646">
      <c r="C646" s="35"/>
      <c r="E646" s="35"/>
      <c r="G646" s="35"/>
      <c r="I646" s="35"/>
      <c r="K646" s="35"/>
      <c r="L646" s="35"/>
      <c r="N646" s="41"/>
      <c r="O646" s="41"/>
      <c r="P646" s="41"/>
      <c r="Q646" s="41"/>
      <c r="R646" s="41"/>
    </row>
    <row r="647">
      <c r="C647" s="35"/>
      <c r="E647" s="35"/>
      <c r="G647" s="35"/>
      <c r="I647" s="35"/>
      <c r="K647" s="35"/>
      <c r="L647" s="35"/>
      <c r="N647" s="41"/>
      <c r="O647" s="41"/>
      <c r="P647" s="41"/>
      <c r="Q647" s="41"/>
      <c r="R647" s="41"/>
    </row>
    <row r="648">
      <c r="C648" s="35"/>
      <c r="E648" s="35"/>
      <c r="G648" s="35"/>
      <c r="I648" s="35"/>
      <c r="K648" s="35"/>
      <c r="L648" s="35"/>
      <c r="N648" s="41"/>
      <c r="O648" s="41"/>
      <c r="P648" s="41"/>
      <c r="Q648" s="41"/>
      <c r="R648" s="41"/>
    </row>
    <row r="649">
      <c r="C649" s="35"/>
      <c r="E649" s="35"/>
      <c r="G649" s="35"/>
      <c r="I649" s="35"/>
      <c r="K649" s="35"/>
      <c r="L649" s="35"/>
      <c r="N649" s="41"/>
      <c r="O649" s="41"/>
      <c r="P649" s="41"/>
      <c r="Q649" s="41"/>
      <c r="R649" s="41"/>
    </row>
    <row r="650">
      <c r="C650" s="35"/>
      <c r="E650" s="35"/>
      <c r="G650" s="35"/>
      <c r="I650" s="35"/>
      <c r="K650" s="35"/>
      <c r="L650" s="35"/>
      <c r="N650" s="41"/>
      <c r="O650" s="41"/>
      <c r="P650" s="41"/>
      <c r="Q650" s="41"/>
      <c r="R650" s="41"/>
    </row>
    <row r="651">
      <c r="C651" s="35"/>
      <c r="E651" s="35"/>
      <c r="G651" s="35"/>
      <c r="I651" s="35"/>
      <c r="K651" s="35"/>
      <c r="L651" s="35"/>
      <c r="N651" s="41"/>
      <c r="O651" s="41"/>
      <c r="P651" s="41"/>
      <c r="Q651" s="41"/>
      <c r="R651" s="41"/>
    </row>
    <row r="652">
      <c r="C652" s="35"/>
      <c r="E652" s="35"/>
      <c r="G652" s="35"/>
      <c r="I652" s="35"/>
      <c r="K652" s="35"/>
      <c r="L652" s="35"/>
      <c r="N652" s="41"/>
      <c r="O652" s="41"/>
      <c r="P652" s="41"/>
      <c r="Q652" s="41"/>
      <c r="R652" s="41"/>
    </row>
    <row r="653">
      <c r="C653" s="35"/>
      <c r="E653" s="35"/>
      <c r="G653" s="35"/>
      <c r="I653" s="35"/>
      <c r="K653" s="35"/>
      <c r="L653" s="35"/>
      <c r="N653" s="41"/>
      <c r="O653" s="41"/>
      <c r="P653" s="41"/>
      <c r="Q653" s="41"/>
      <c r="R653" s="41"/>
    </row>
    <row r="654">
      <c r="C654" s="35"/>
      <c r="E654" s="35"/>
      <c r="G654" s="35"/>
      <c r="I654" s="35"/>
      <c r="K654" s="35"/>
      <c r="L654" s="35"/>
      <c r="N654" s="41"/>
      <c r="O654" s="41"/>
      <c r="P654" s="41"/>
      <c r="Q654" s="41"/>
      <c r="R654" s="41"/>
    </row>
    <row r="655">
      <c r="C655" s="35"/>
      <c r="E655" s="35"/>
      <c r="G655" s="35"/>
      <c r="I655" s="35"/>
      <c r="K655" s="35"/>
      <c r="L655" s="35"/>
      <c r="N655" s="41"/>
      <c r="O655" s="41"/>
      <c r="P655" s="41"/>
      <c r="Q655" s="41"/>
      <c r="R655" s="41"/>
    </row>
    <row r="656">
      <c r="C656" s="35"/>
      <c r="E656" s="35"/>
      <c r="G656" s="35"/>
      <c r="I656" s="35"/>
      <c r="K656" s="35"/>
      <c r="L656" s="35"/>
      <c r="N656" s="41"/>
      <c r="O656" s="41"/>
      <c r="P656" s="41"/>
      <c r="Q656" s="41"/>
      <c r="R656" s="41"/>
    </row>
    <row r="657">
      <c r="C657" s="35"/>
      <c r="E657" s="35"/>
      <c r="G657" s="35"/>
      <c r="I657" s="35"/>
      <c r="K657" s="35"/>
      <c r="L657" s="35"/>
      <c r="N657" s="41"/>
      <c r="O657" s="41"/>
      <c r="P657" s="41"/>
      <c r="Q657" s="41"/>
      <c r="R657" s="41"/>
    </row>
    <row r="658">
      <c r="C658" s="35"/>
      <c r="E658" s="35"/>
      <c r="G658" s="35"/>
      <c r="I658" s="35"/>
      <c r="K658" s="35"/>
      <c r="L658" s="35"/>
      <c r="N658" s="41"/>
      <c r="O658" s="41"/>
      <c r="P658" s="41"/>
      <c r="Q658" s="41"/>
      <c r="R658" s="41"/>
    </row>
    <row r="659">
      <c r="C659" s="35"/>
      <c r="E659" s="35"/>
      <c r="G659" s="35"/>
      <c r="I659" s="35"/>
      <c r="K659" s="35"/>
      <c r="L659" s="35"/>
      <c r="N659" s="41"/>
      <c r="O659" s="41"/>
      <c r="P659" s="41"/>
      <c r="Q659" s="41"/>
      <c r="R659" s="41"/>
    </row>
    <row r="660">
      <c r="C660" s="35"/>
      <c r="E660" s="35"/>
      <c r="G660" s="35"/>
      <c r="I660" s="35"/>
      <c r="K660" s="35"/>
      <c r="L660" s="35"/>
      <c r="N660" s="41"/>
      <c r="O660" s="41"/>
      <c r="P660" s="41"/>
      <c r="Q660" s="41"/>
      <c r="R660" s="41"/>
    </row>
    <row r="661">
      <c r="C661" s="35"/>
      <c r="E661" s="35"/>
      <c r="G661" s="35"/>
      <c r="I661" s="35"/>
      <c r="K661" s="35"/>
      <c r="L661" s="35"/>
      <c r="N661" s="41"/>
      <c r="O661" s="41"/>
      <c r="P661" s="41"/>
      <c r="Q661" s="41"/>
      <c r="R661" s="41"/>
    </row>
    <row r="662">
      <c r="C662" s="35"/>
      <c r="E662" s="35"/>
      <c r="G662" s="35"/>
      <c r="I662" s="35"/>
      <c r="K662" s="35"/>
      <c r="L662" s="35"/>
      <c r="N662" s="41"/>
      <c r="O662" s="41"/>
      <c r="P662" s="41"/>
      <c r="Q662" s="41"/>
      <c r="R662" s="41"/>
    </row>
    <row r="663">
      <c r="C663" s="35"/>
      <c r="E663" s="35"/>
      <c r="G663" s="35"/>
      <c r="I663" s="35"/>
      <c r="K663" s="35"/>
      <c r="L663" s="35"/>
      <c r="N663" s="41"/>
      <c r="O663" s="41"/>
      <c r="P663" s="41"/>
      <c r="Q663" s="41"/>
      <c r="R663" s="41"/>
    </row>
    <row r="664">
      <c r="C664" s="35"/>
      <c r="E664" s="35"/>
      <c r="G664" s="35"/>
      <c r="I664" s="35"/>
      <c r="K664" s="35"/>
      <c r="L664" s="35"/>
      <c r="N664" s="41"/>
      <c r="O664" s="41"/>
      <c r="P664" s="41"/>
      <c r="Q664" s="41"/>
      <c r="R664" s="41"/>
    </row>
    <row r="665">
      <c r="C665" s="35"/>
      <c r="E665" s="35"/>
      <c r="G665" s="35"/>
      <c r="I665" s="35"/>
      <c r="K665" s="35"/>
      <c r="L665" s="35"/>
      <c r="N665" s="41"/>
      <c r="O665" s="41"/>
      <c r="P665" s="41"/>
      <c r="Q665" s="41"/>
      <c r="R665" s="41"/>
    </row>
    <row r="666">
      <c r="C666" s="35"/>
      <c r="E666" s="35"/>
      <c r="G666" s="35"/>
      <c r="I666" s="35"/>
      <c r="K666" s="35"/>
      <c r="L666" s="35"/>
      <c r="N666" s="41"/>
      <c r="O666" s="41"/>
      <c r="P666" s="41"/>
      <c r="Q666" s="41"/>
      <c r="R666" s="41"/>
    </row>
    <row r="667">
      <c r="C667" s="35"/>
      <c r="E667" s="35"/>
      <c r="G667" s="35"/>
      <c r="I667" s="35"/>
      <c r="K667" s="35"/>
      <c r="L667" s="35"/>
      <c r="N667" s="41"/>
      <c r="O667" s="41"/>
      <c r="P667" s="41"/>
      <c r="Q667" s="41"/>
      <c r="R667" s="41"/>
    </row>
    <row r="668">
      <c r="C668" s="35"/>
      <c r="E668" s="35"/>
      <c r="G668" s="35"/>
      <c r="I668" s="35"/>
      <c r="K668" s="35"/>
      <c r="L668" s="35"/>
      <c r="N668" s="41"/>
      <c r="O668" s="41"/>
      <c r="P668" s="41"/>
      <c r="Q668" s="41"/>
      <c r="R668" s="41"/>
    </row>
    <row r="669">
      <c r="C669" s="35"/>
      <c r="E669" s="35"/>
      <c r="G669" s="35"/>
      <c r="I669" s="35"/>
      <c r="K669" s="35"/>
      <c r="L669" s="35"/>
      <c r="N669" s="41"/>
      <c r="O669" s="41"/>
      <c r="P669" s="41"/>
      <c r="Q669" s="41"/>
      <c r="R669" s="41"/>
    </row>
    <row r="670">
      <c r="C670" s="35"/>
      <c r="E670" s="35"/>
      <c r="G670" s="35"/>
      <c r="I670" s="35"/>
      <c r="K670" s="35"/>
      <c r="L670" s="35"/>
      <c r="N670" s="41"/>
      <c r="O670" s="41"/>
      <c r="P670" s="41"/>
      <c r="Q670" s="41"/>
      <c r="R670" s="41"/>
    </row>
    <row r="671">
      <c r="C671" s="35"/>
      <c r="E671" s="35"/>
      <c r="G671" s="35"/>
      <c r="I671" s="35"/>
      <c r="K671" s="35"/>
      <c r="L671" s="35"/>
      <c r="N671" s="41"/>
      <c r="O671" s="41"/>
      <c r="P671" s="41"/>
      <c r="Q671" s="41"/>
      <c r="R671" s="41"/>
    </row>
    <row r="672">
      <c r="C672" s="35"/>
      <c r="E672" s="35"/>
      <c r="G672" s="35"/>
      <c r="I672" s="35"/>
      <c r="K672" s="35"/>
      <c r="L672" s="35"/>
      <c r="N672" s="41"/>
      <c r="O672" s="41"/>
      <c r="P672" s="41"/>
      <c r="Q672" s="41"/>
      <c r="R672" s="41"/>
    </row>
    <row r="673">
      <c r="C673" s="35"/>
      <c r="E673" s="35"/>
      <c r="G673" s="35"/>
      <c r="I673" s="35"/>
      <c r="K673" s="35"/>
      <c r="L673" s="35"/>
      <c r="N673" s="41"/>
      <c r="O673" s="41"/>
      <c r="P673" s="41"/>
      <c r="Q673" s="41"/>
      <c r="R673" s="41"/>
    </row>
    <row r="674">
      <c r="C674" s="35"/>
      <c r="E674" s="35"/>
      <c r="G674" s="35"/>
      <c r="I674" s="35"/>
      <c r="K674" s="35"/>
      <c r="L674" s="35"/>
      <c r="N674" s="41"/>
      <c r="O674" s="41"/>
      <c r="P674" s="41"/>
      <c r="Q674" s="41"/>
      <c r="R674" s="41"/>
    </row>
    <row r="675">
      <c r="C675" s="35"/>
      <c r="E675" s="35"/>
      <c r="G675" s="35"/>
      <c r="I675" s="35"/>
      <c r="K675" s="35"/>
      <c r="L675" s="35"/>
      <c r="N675" s="41"/>
      <c r="O675" s="41"/>
      <c r="P675" s="41"/>
      <c r="Q675" s="41"/>
      <c r="R675" s="41"/>
    </row>
    <row r="676">
      <c r="C676" s="35"/>
      <c r="E676" s="35"/>
      <c r="G676" s="35"/>
      <c r="I676" s="35"/>
      <c r="K676" s="35"/>
      <c r="L676" s="35"/>
      <c r="N676" s="41"/>
      <c r="O676" s="41"/>
      <c r="P676" s="41"/>
      <c r="Q676" s="41"/>
      <c r="R676" s="41"/>
    </row>
    <row r="677">
      <c r="C677" s="35"/>
      <c r="E677" s="35"/>
      <c r="G677" s="35"/>
      <c r="I677" s="35"/>
      <c r="K677" s="35"/>
      <c r="L677" s="35"/>
      <c r="N677" s="41"/>
      <c r="O677" s="41"/>
      <c r="P677" s="41"/>
      <c r="Q677" s="41"/>
      <c r="R677" s="41"/>
    </row>
    <row r="678">
      <c r="C678" s="35"/>
      <c r="E678" s="35"/>
      <c r="G678" s="35"/>
      <c r="I678" s="35"/>
      <c r="K678" s="35"/>
      <c r="L678" s="35"/>
      <c r="N678" s="41"/>
      <c r="O678" s="41"/>
      <c r="P678" s="41"/>
      <c r="Q678" s="41"/>
      <c r="R678" s="41"/>
    </row>
    <row r="679">
      <c r="C679" s="35"/>
      <c r="E679" s="35"/>
      <c r="G679" s="35"/>
      <c r="I679" s="35"/>
      <c r="K679" s="35"/>
      <c r="L679" s="35"/>
      <c r="N679" s="41"/>
      <c r="O679" s="41"/>
      <c r="P679" s="41"/>
      <c r="Q679" s="41"/>
      <c r="R679" s="41"/>
    </row>
    <row r="680">
      <c r="C680" s="35"/>
      <c r="E680" s="35"/>
      <c r="G680" s="35"/>
      <c r="I680" s="35"/>
      <c r="K680" s="35"/>
      <c r="L680" s="35"/>
      <c r="N680" s="41"/>
      <c r="O680" s="41"/>
      <c r="P680" s="41"/>
      <c r="Q680" s="41"/>
      <c r="R680" s="41"/>
    </row>
    <row r="681">
      <c r="C681" s="35"/>
      <c r="E681" s="35"/>
      <c r="G681" s="35"/>
      <c r="I681" s="35"/>
      <c r="K681" s="35"/>
      <c r="L681" s="35"/>
      <c r="N681" s="41"/>
      <c r="O681" s="41"/>
      <c r="P681" s="41"/>
      <c r="Q681" s="41"/>
      <c r="R681" s="41"/>
    </row>
    <row r="682">
      <c r="C682" s="35"/>
      <c r="E682" s="35"/>
      <c r="G682" s="35"/>
      <c r="I682" s="35"/>
      <c r="K682" s="35"/>
      <c r="L682" s="35"/>
      <c r="N682" s="41"/>
      <c r="O682" s="41"/>
      <c r="P682" s="41"/>
      <c r="Q682" s="41"/>
      <c r="R682" s="41"/>
    </row>
    <row r="683">
      <c r="C683" s="35"/>
      <c r="E683" s="35"/>
      <c r="G683" s="35"/>
      <c r="I683" s="35"/>
      <c r="K683" s="35"/>
      <c r="L683" s="35"/>
      <c r="N683" s="41"/>
      <c r="O683" s="41"/>
      <c r="P683" s="41"/>
      <c r="Q683" s="41"/>
      <c r="R683" s="41"/>
    </row>
    <row r="684">
      <c r="C684" s="35"/>
      <c r="E684" s="35"/>
      <c r="G684" s="35"/>
      <c r="I684" s="35"/>
      <c r="K684" s="35"/>
      <c r="L684" s="35"/>
      <c r="N684" s="41"/>
      <c r="O684" s="41"/>
      <c r="P684" s="41"/>
      <c r="Q684" s="41"/>
      <c r="R684" s="41"/>
    </row>
    <row r="685">
      <c r="C685" s="35"/>
      <c r="E685" s="35"/>
      <c r="G685" s="35"/>
      <c r="I685" s="35"/>
      <c r="K685" s="35"/>
      <c r="L685" s="35"/>
      <c r="N685" s="41"/>
      <c r="O685" s="41"/>
      <c r="P685" s="41"/>
      <c r="Q685" s="41"/>
      <c r="R685" s="41"/>
    </row>
    <row r="686">
      <c r="C686" s="35"/>
      <c r="E686" s="35"/>
      <c r="G686" s="35"/>
      <c r="I686" s="35"/>
      <c r="K686" s="35"/>
      <c r="L686" s="35"/>
      <c r="N686" s="41"/>
      <c r="O686" s="41"/>
      <c r="P686" s="41"/>
      <c r="Q686" s="41"/>
      <c r="R686" s="41"/>
    </row>
    <row r="687">
      <c r="C687" s="35"/>
      <c r="E687" s="35"/>
      <c r="G687" s="35"/>
      <c r="I687" s="35"/>
      <c r="K687" s="35"/>
      <c r="L687" s="35"/>
      <c r="N687" s="41"/>
      <c r="O687" s="41"/>
      <c r="P687" s="41"/>
      <c r="Q687" s="41"/>
      <c r="R687" s="41"/>
    </row>
    <row r="688">
      <c r="C688" s="35"/>
      <c r="E688" s="35"/>
      <c r="G688" s="35"/>
      <c r="I688" s="35"/>
      <c r="K688" s="35"/>
      <c r="L688" s="35"/>
      <c r="N688" s="41"/>
      <c r="O688" s="41"/>
      <c r="P688" s="41"/>
      <c r="Q688" s="41"/>
      <c r="R688" s="41"/>
    </row>
    <row r="689">
      <c r="C689" s="35"/>
      <c r="E689" s="35"/>
      <c r="G689" s="35"/>
      <c r="I689" s="35"/>
      <c r="K689" s="35"/>
      <c r="L689" s="35"/>
      <c r="N689" s="41"/>
      <c r="O689" s="41"/>
      <c r="P689" s="41"/>
      <c r="Q689" s="41"/>
      <c r="R689" s="41"/>
    </row>
    <row r="690">
      <c r="C690" s="35"/>
      <c r="E690" s="35"/>
      <c r="G690" s="35"/>
      <c r="I690" s="35"/>
      <c r="K690" s="35"/>
      <c r="L690" s="35"/>
      <c r="N690" s="41"/>
      <c r="O690" s="41"/>
      <c r="P690" s="41"/>
      <c r="Q690" s="41"/>
      <c r="R690" s="41"/>
    </row>
    <row r="691">
      <c r="C691" s="35"/>
      <c r="E691" s="35"/>
      <c r="G691" s="35"/>
      <c r="I691" s="35"/>
      <c r="K691" s="35"/>
      <c r="L691" s="35"/>
      <c r="N691" s="41"/>
      <c r="O691" s="41"/>
      <c r="P691" s="41"/>
      <c r="Q691" s="41"/>
      <c r="R691" s="41"/>
    </row>
    <row r="692">
      <c r="C692" s="35"/>
      <c r="E692" s="35"/>
      <c r="G692" s="35"/>
      <c r="I692" s="35"/>
      <c r="K692" s="35"/>
      <c r="L692" s="35"/>
      <c r="N692" s="41"/>
      <c r="O692" s="41"/>
      <c r="P692" s="41"/>
      <c r="Q692" s="41"/>
      <c r="R692" s="41"/>
    </row>
    <row r="693">
      <c r="C693" s="35"/>
      <c r="E693" s="35"/>
      <c r="G693" s="35"/>
      <c r="I693" s="35"/>
      <c r="K693" s="35"/>
      <c r="L693" s="35"/>
      <c r="N693" s="41"/>
      <c r="O693" s="41"/>
      <c r="P693" s="41"/>
      <c r="Q693" s="41"/>
      <c r="R693" s="41"/>
    </row>
    <row r="694">
      <c r="C694" s="35"/>
      <c r="E694" s="35"/>
      <c r="G694" s="35"/>
      <c r="I694" s="35"/>
      <c r="K694" s="35"/>
      <c r="L694" s="35"/>
      <c r="N694" s="41"/>
      <c r="O694" s="41"/>
      <c r="P694" s="41"/>
      <c r="Q694" s="41"/>
      <c r="R694" s="41"/>
    </row>
    <row r="695">
      <c r="C695" s="35"/>
      <c r="E695" s="35"/>
      <c r="G695" s="35"/>
      <c r="I695" s="35"/>
      <c r="K695" s="35"/>
      <c r="L695" s="35"/>
      <c r="N695" s="41"/>
      <c r="O695" s="41"/>
      <c r="P695" s="41"/>
      <c r="Q695" s="41"/>
      <c r="R695" s="41"/>
    </row>
    <row r="696">
      <c r="C696" s="35"/>
      <c r="E696" s="35"/>
      <c r="G696" s="35"/>
      <c r="I696" s="35"/>
      <c r="K696" s="35"/>
      <c r="L696" s="35"/>
      <c r="N696" s="41"/>
      <c r="O696" s="41"/>
      <c r="P696" s="41"/>
      <c r="Q696" s="41"/>
      <c r="R696" s="41"/>
    </row>
    <row r="697">
      <c r="C697" s="35"/>
      <c r="E697" s="35"/>
      <c r="G697" s="35"/>
      <c r="I697" s="35"/>
      <c r="K697" s="35"/>
      <c r="L697" s="35"/>
      <c r="N697" s="41"/>
      <c r="O697" s="41"/>
      <c r="P697" s="41"/>
      <c r="Q697" s="41"/>
      <c r="R697" s="41"/>
    </row>
    <row r="698">
      <c r="C698" s="35"/>
      <c r="E698" s="35"/>
      <c r="G698" s="35"/>
      <c r="I698" s="35"/>
      <c r="K698" s="35"/>
      <c r="L698" s="35"/>
      <c r="N698" s="41"/>
      <c r="O698" s="41"/>
      <c r="P698" s="41"/>
      <c r="Q698" s="41"/>
      <c r="R698" s="41"/>
    </row>
    <row r="699">
      <c r="C699" s="35"/>
      <c r="E699" s="35"/>
      <c r="G699" s="35"/>
      <c r="I699" s="35"/>
      <c r="K699" s="35"/>
      <c r="L699" s="35"/>
      <c r="N699" s="41"/>
      <c r="O699" s="41"/>
      <c r="P699" s="41"/>
      <c r="Q699" s="41"/>
      <c r="R699" s="41"/>
    </row>
    <row r="700">
      <c r="C700" s="35"/>
      <c r="E700" s="35"/>
      <c r="G700" s="35"/>
      <c r="I700" s="35"/>
      <c r="K700" s="35"/>
      <c r="L700" s="35"/>
      <c r="N700" s="41"/>
      <c r="O700" s="41"/>
      <c r="P700" s="41"/>
      <c r="Q700" s="41"/>
      <c r="R700" s="41"/>
    </row>
    <row r="701">
      <c r="C701" s="35"/>
      <c r="E701" s="35"/>
      <c r="G701" s="35"/>
      <c r="I701" s="35"/>
      <c r="K701" s="35"/>
      <c r="L701" s="35"/>
      <c r="N701" s="41"/>
      <c r="O701" s="41"/>
      <c r="P701" s="41"/>
      <c r="Q701" s="41"/>
      <c r="R701" s="41"/>
    </row>
    <row r="702">
      <c r="C702" s="35"/>
      <c r="E702" s="35"/>
      <c r="G702" s="35"/>
      <c r="I702" s="35"/>
      <c r="K702" s="35"/>
      <c r="L702" s="35"/>
      <c r="N702" s="41"/>
      <c r="O702" s="41"/>
      <c r="P702" s="41"/>
      <c r="Q702" s="41"/>
      <c r="R702" s="41"/>
    </row>
    <row r="703">
      <c r="C703" s="35"/>
      <c r="E703" s="35"/>
      <c r="G703" s="35"/>
      <c r="I703" s="35"/>
      <c r="K703" s="35"/>
      <c r="L703" s="35"/>
      <c r="N703" s="41"/>
      <c r="O703" s="41"/>
      <c r="P703" s="41"/>
      <c r="Q703" s="41"/>
      <c r="R703" s="41"/>
    </row>
    <row r="704">
      <c r="C704" s="35"/>
      <c r="E704" s="35"/>
      <c r="G704" s="35"/>
      <c r="I704" s="35"/>
      <c r="K704" s="35"/>
      <c r="L704" s="35"/>
      <c r="N704" s="41"/>
      <c r="O704" s="41"/>
      <c r="P704" s="41"/>
      <c r="Q704" s="41"/>
      <c r="R704" s="41"/>
    </row>
    <row r="705">
      <c r="C705" s="35"/>
      <c r="E705" s="35"/>
      <c r="G705" s="35"/>
      <c r="I705" s="35"/>
      <c r="K705" s="35"/>
      <c r="L705" s="35"/>
      <c r="N705" s="41"/>
      <c r="O705" s="41"/>
      <c r="P705" s="41"/>
      <c r="Q705" s="41"/>
      <c r="R705" s="41"/>
    </row>
    <row r="706">
      <c r="C706" s="35"/>
      <c r="E706" s="35"/>
      <c r="G706" s="35"/>
      <c r="I706" s="35"/>
      <c r="K706" s="35"/>
      <c r="L706" s="35"/>
      <c r="N706" s="41"/>
      <c r="O706" s="41"/>
      <c r="P706" s="41"/>
      <c r="Q706" s="41"/>
      <c r="R706" s="41"/>
    </row>
    <row r="707">
      <c r="C707" s="35"/>
      <c r="E707" s="35"/>
      <c r="G707" s="35"/>
      <c r="I707" s="35"/>
      <c r="K707" s="35"/>
      <c r="L707" s="35"/>
      <c r="N707" s="41"/>
      <c r="O707" s="41"/>
      <c r="P707" s="41"/>
      <c r="Q707" s="41"/>
      <c r="R707" s="41"/>
    </row>
    <row r="708">
      <c r="C708" s="35"/>
      <c r="E708" s="35"/>
      <c r="G708" s="35"/>
      <c r="I708" s="35"/>
      <c r="K708" s="35"/>
      <c r="L708" s="35"/>
      <c r="N708" s="41"/>
      <c r="O708" s="41"/>
      <c r="P708" s="41"/>
      <c r="Q708" s="41"/>
      <c r="R708" s="41"/>
    </row>
    <row r="709">
      <c r="C709" s="35"/>
      <c r="E709" s="35"/>
      <c r="G709" s="35"/>
      <c r="I709" s="35"/>
      <c r="K709" s="35"/>
      <c r="L709" s="35"/>
      <c r="N709" s="41"/>
      <c r="O709" s="41"/>
      <c r="P709" s="41"/>
      <c r="Q709" s="41"/>
      <c r="R709" s="41"/>
    </row>
    <row r="710">
      <c r="C710" s="35"/>
      <c r="E710" s="35"/>
      <c r="G710" s="35"/>
      <c r="I710" s="35"/>
      <c r="K710" s="35"/>
      <c r="L710" s="35"/>
      <c r="N710" s="41"/>
      <c r="O710" s="41"/>
      <c r="P710" s="41"/>
      <c r="Q710" s="41"/>
      <c r="R710" s="41"/>
    </row>
    <row r="711">
      <c r="C711" s="35"/>
      <c r="E711" s="35"/>
      <c r="G711" s="35"/>
      <c r="I711" s="35"/>
      <c r="K711" s="35"/>
      <c r="L711" s="35"/>
      <c r="N711" s="41"/>
      <c r="O711" s="41"/>
      <c r="P711" s="41"/>
      <c r="Q711" s="41"/>
      <c r="R711" s="41"/>
    </row>
    <row r="712">
      <c r="C712" s="35"/>
      <c r="E712" s="35"/>
      <c r="G712" s="35"/>
      <c r="I712" s="35"/>
      <c r="K712" s="35"/>
      <c r="L712" s="35"/>
      <c r="N712" s="41"/>
      <c r="O712" s="41"/>
      <c r="P712" s="41"/>
      <c r="Q712" s="41"/>
      <c r="R712" s="41"/>
    </row>
    <row r="713">
      <c r="C713" s="35"/>
      <c r="E713" s="35"/>
      <c r="G713" s="35"/>
      <c r="I713" s="35"/>
      <c r="K713" s="35"/>
      <c r="L713" s="35"/>
      <c r="N713" s="41"/>
      <c r="O713" s="41"/>
      <c r="P713" s="41"/>
      <c r="Q713" s="41"/>
      <c r="R713" s="41"/>
    </row>
    <row r="714">
      <c r="C714" s="35"/>
      <c r="E714" s="35"/>
      <c r="G714" s="35"/>
      <c r="I714" s="35"/>
      <c r="K714" s="35"/>
      <c r="L714" s="35"/>
      <c r="N714" s="41"/>
      <c r="O714" s="41"/>
      <c r="P714" s="41"/>
      <c r="Q714" s="41"/>
      <c r="R714" s="41"/>
    </row>
    <row r="715">
      <c r="C715" s="35"/>
      <c r="E715" s="35"/>
      <c r="G715" s="35"/>
      <c r="I715" s="35"/>
      <c r="K715" s="35"/>
      <c r="L715" s="35"/>
      <c r="N715" s="41"/>
      <c r="O715" s="41"/>
      <c r="P715" s="41"/>
      <c r="Q715" s="41"/>
      <c r="R715" s="41"/>
    </row>
    <row r="716">
      <c r="C716" s="35"/>
      <c r="E716" s="35"/>
      <c r="G716" s="35"/>
      <c r="I716" s="35"/>
      <c r="K716" s="35"/>
      <c r="L716" s="35"/>
      <c r="N716" s="41"/>
      <c r="O716" s="41"/>
      <c r="P716" s="41"/>
      <c r="Q716" s="41"/>
      <c r="R716" s="41"/>
    </row>
    <row r="717">
      <c r="C717" s="35"/>
      <c r="E717" s="35"/>
      <c r="G717" s="35"/>
      <c r="I717" s="35"/>
      <c r="K717" s="35"/>
      <c r="L717" s="35"/>
      <c r="N717" s="41"/>
      <c r="O717" s="41"/>
      <c r="P717" s="41"/>
      <c r="Q717" s="41"/>
      <c r="R717" s="41"/>
    </row>
    <row r="718">
      <c r="C718" s="35"/>
      <c r="E718" s="35"/>
      <c r="G718" s="35"/>
      <c r="I718" s="35"/>
      <c r="K718" s="35"/>
      <c r="L718" s="35"/>
      <c r="N718" s="41"/>
      <c r="O718" s="41"/>
      <c r="P718" s="41"/>
      <c r="Q718" s="41"/>
      <c r="R718" s="41"/>
    </row>
    <row r="719">
      <c r="C719" s="35"/>
      <c r="E719" s="35"/>
      <c r="G719" s="35"/>
      <c r="I719" s="35"/>
      <c r="K719" s="35"/>
      <c r="L719" s="35"/>
      <c r="N719" s="41"/>
      <c r="O719" s="41"/>
      <c r="P719" s="41"/>
      <c r="Q719" s="41"/>
      <c r="R719" s="41"/>
    </row>
    <row r="720">
      <c r="C720" s="35"/>
      <c r="E720" s="35"/>
      <c r="G720" s="35"/>
      <c r="I720" s="35"/>
      <c r="K720" s="35"/>
      <c r="L720" s="35"/>
      <c r="N720" s="41"/>
      <c r="O720" s="41"/>
      <c r="P720" s="41"/>
      <c r="Q720" s="41"/>
      <c r="R720" s="41"/>
    </row>
    <row r="721">
      <c r="C721" s="35"/>
      <c r="E721" s="35"/>
      <c r="G721" s="35"/>
      <c r="I721" s="35"/>
      <c r="K721" s="35"/>
      <c r="L721" s="35"/>
      <c r="N721" s="41"/>
      <c r="O721" s="41"/>
      <c r="P721" s="41"/>
      <c r="Q721" s="41"/>
      <c r="R721" s="41"/>
    </row>
    <row r="722">
      <c r="C722" s="35"/>
      <c r="E722" s="35"/>
      <c r="G722" s="35"/>
      <c r="I722" s="35"/>
      <c r="K722" s="35"/>
      <c r="L722" s="35"/>
      <c r="N722" s="41"/>
      <c r="O722" s="41"/>
      <c r="P722" s="41"/>
      <c r="Q722" s="41"/>
      <c r="R722" s="41"/>
    </row>
    <row r="723">
      <c r="C723" s="35"/>
      <c r="E723" s="35"/>
      <c r="G723" s="35"/>
      <c r="I723" s="35"/>
      <c r="K723" s="35"/>
      <c r="L723" s="35"/>
      <c r="N723" s="41"/>
      <c r="O723" s="41"/>
      <c r="P723" s="41"/>
      <c r="Q723" s="41"/>
      <c r="R723" s="41"/>
    </row>
    <row r="724">
      <c r="C724" s="35"/>
      <c r="E724" s="35"/>
      <c r="G724" s="35"/>
      <c r="I724" s="35"/>
      <c r="K724" s="35"/>
      <c r="L724" s="35"/>
      <c r="N724" s="41"/>
      <c r="O724" s="41"/>
      <c r="P724" s="41"/>
      <c r="Q724" s="41"/>
      <c r="R724" s="41"/>
    </row>
    <row r="725">
      <c r="C725" s="35"/>
      <c r="E725" s="35"/>
      <c r="G725" s="35"/>
      <c r="I725" s="35"/>
      <c r="K725" s="35"/>
      <c r="L725" s="35"/>
      <c r="N725" s="41"/>
      <c r="O725" s="41"/>
      <c r="P725" s="41"/>
      <c r="Q725" s="41"/>
      <c r="R725" s="41"/>
    </row>
    <row r="726">
      <c r="C726" s="35"/>
      <c r="E726" s="35"/>
      <c r="G726" s="35"/>
      <c r="I726" s="35"/>
      <c r="K726" s="35"/>
      <c r="L726" s="35"/>
      <c r="N726" s="41"/>
      <c r="O726" s="41"/>
      <c r="P726" s="41"/>
      <c r="Q726" s="41"/>
      <c r="R726" s="41"/>
    </row>
    <row r="727">
      <c r="C727" s="35"/>
      <c r="E727" s="35"/>
      <c r="G727" s="35"/>
      <c r="I727" s="35"/>
      <c r="K727" s="35"/>
      <c r="L727" s="35"/>
      <c r="N727" s="41"/>
      <c r="O727" s="41"/>
      <c r="P727" s="41"/>
      <c r="Q727" s="41"/>
      <c r="R727" s="41"/>
    </row>
    <row r="728">
      <c r="C728" s="35"/>
      <c r="E728" s="35"/>
      <c r="G728" s="35"/>
      <c r="I728" s="35"/>
      <c r="K728" s="35"/>
      <c r="L728" s="35"/>
      <c r="N728" s="41"/>
      <c r="O728" s="41"/>
      <c r="P728" s="41"/>
      <c r="Q728" s="41"/>
      <c r="R728" s="41"/>
    </row>
    <row r="729">
      <c r="C729" s="35"/>
      <c r="E729" s="35"/>
      <c r="G729" s="35"/>
      <c r="I729" s="35"/>
      <c r="K729" s="35"/>
      <c r="L729" s="35"/>
      <c r="N729" s="41"/>
      <c r="O729" s="41"/>
      <c r="P729" s="41"/>
      <c r="Q729" s="41"/>
      <c r="R729" s="41"/>
    </row>
    <row r="730">
      <c r="C730" s="35"/>
      <c r="E730" s="35"/>
      <c r="G730" s="35"/>
      <c r="I730" s="35"/>
      <c r="K730" s="35"/>
      <c r="L730" s="35"/>
      <c r="N730" s="41"/>
      <c r="O730" s="41"/>
      <c r="P730" s="41"/>
      <c r="Q730" s="41"/>
      <c r="R730" s="41"/>
    </row>
    <row r="731">
      <c r="C731" s="35"/>
      <c r="E731" s="35"/>
      <c r="G731" s="35"/>
      <c r="I731" s="35"/>
      <c r="K731" s="35"/>
      <c r="L731" s="35"/>
      <c r="N731" s="41"/>
      <c r="O731" s="41"/>
      <c r="P731" s="41"/>
      <c r="Q731" s="41"/>
      <c r="R731" s="41"/>
    </row>
    <row r="732">
      <c r="C732" s="35"/>
      <c r="E732" s="35"/>
      <c r="G732" s="35"/>
      <c r="I732" s="35"/>
      <c r="K732" s="35"/>
      <c r="L732" s="35"/>
      <c r="N732" s="41"/>
      <c r="O732" s="41"/>
      <c r="P732" s="41"/>
      <c r="Q732" s="41"/>
      <c r="R732" s="41"/>
    </row>
    <row r="733">
      <c r="C733" s="35"/>
      <c r="E733" s="35"/>
      <c r="G733" s="35"/>
      <c r="I733" s="35"/>
      <c r="K733" s="35"/>
      <c r="L733" s="35"/>
      <c r="N733" s="41"/>
      <c r="O733" s="41"/>
      <c r="P733" s="41"/>
      <c r="Q733" s="41"/>
      <c r="R733" s="41"/>
    </row>
    <row r="734">
      <c r="C734" s="35"/>
      <c r="E734" s="35"/>
      <c r="G734" s="35"/>
      <c r="I734" s="35"/>
      <c r="K734" s="35"/>
      <c r="L734" s="35"/>
      <c r="N734" s="41"/>
      <c r="O734" s="41"/>
      <c r="P734" s="41"/>
      <c r="Q734" s="41"/>
      <c r="R734" s="41"/>
    </row>
    <row r="735">
      <c r="C735" s="35"/>
      <c r="E735" s="35"/>
      <c r="G735" s="35"/>
      <c r="I735" s="35"/>
      <c r="K735" s="35"/>
      <c r="L735" s="35"/>
      <c r="N735" s="41"/>
      <c r="O735" s="41"/>
      <c r="P735" s="41"/>
      <c r="Q735" s="41"/>
      <c r="R735" s="41"/>
    </row>
    <row r="736">
      <c r="C736" s="35"/>
      <c r="E736" s="35"/>
      <c r="G736" s="35"/>
      <c r="I736" s="35"/>
      <c r="K736" s="35"/>
      <c r="L736" s="35"/>
      <c r="N736" s="41"/>
      <c r="O736" s="41"/>
      <c r="P736" s="41"/>
      <c r="Q736" s="41"/>
      <c r="R736" s="41"/>
    </row>
    <row r="737">
      <c r="C737" s="35"/>
      <c r="E737" s="35"/>
      <c r="G737" s="35"/>
      <c r="I737" s="35"/>
      <c r="K737" s="35"/>
      <c r="L737" s="35"/>
      <c r="N737" s="41"/>
      <c r="O737" s="41"/>
      <c r="P737" s="41"/>
      <c r="Q737" s="41"/>
      <c r="R737" s="41"/>
    </row>
    <row r="738">
      <c r="C738" s="35"/>
      <c r="E738" s="35"/>
      <c r="G738" s="35"/>
      <c r="I738" s="35"/>
      <c r="K738" s="35"/>
      <c r="L738" s="35"/>
      <c r="N738" s="41"/>
      <c r="O738" s="41"/>
      <c r="P738" s="41"/>
      <c r="Q738" s="41"/>
      <c r="R738" s="41"/>
    </row>
    <row r="739">
      <c r="C739" s="35"/>
      <c r="E739" s="35"/>
      <c r="G739" s="35"/>
      <c r="I739" s="35"/>
      <c r="K739" s="35"/>
      <c r="L739" s="35"/>
      <c r="N739" s="41"/>
      <c r="O739" s="41"/>
      <c r="P739" s="41"/>
      <c r="Q739" s="41"/>
      <c r="R739" s="41"/>
    </row>
    <row r="740">
      <c r="C740" s="35"/>
      <c r="E740" s="35"/>
      <c r="G740" s="35"/>
      <c r="I740" s="35"/>
      <c r="K740" s="35"/>
      <c r="L740" s="35"/>
      <c r="N740" s="41"/>
      <c r="O740" s="41"/>
      <c r="P740" s="41"/>
      <c r="Q740" s="41"/>
      <c r="R740" s="41"/>
    </row>
    <row r="741">
      <c r="C741" s="35"/>
      <c r="E741" s="35"/>
      <c r="G741" s="35"/>
      <c r="I741" s="35"/>
      <c r="K741" s="35"/>
      <c r="L741" s="35"/>
      <c r="N741" s="41"/>
      <c r="O741" s="41"/>
      <c r="P741" s="41"/>
      <c r="Q741" s="41"/>
      <c r="R741" s="41"/>
    </row>
    <row r="742">
      <c r="C742" s="35"/>
      <c r="E742" s="35"/>
      <c r="G742" s="35"/>
      <c r="I742" s="35"/>
      <c r="K742" s="35"/>
      <c r="L742" s="35"/>
      <c r="N742" s="41"/>
      <c r="O742" s="41"/>
      <c r="P742" s="41"/>
      <c r="Q742" s="41"/>
      <c r="R742" s="41"/>
    </row>
    <row r="743">
      <c r="C743" s="35"/>
      <c r="E743" s="35"/>
      <c r="G743" s="35"/>
      <c r="I743" s="35"/>
      <c r="K743" s="35"/>
      <c r="L743" s="35"/>
      <c r="N743" s="41"/>
      <c r="O743" s="41"/>
      <c r="P743" s="41"/>
      <c r="Q743" s="41"/>
      <c r="R743" s="41"/>
    </row>
    <row r="744">
      <c r="C744" s="35"/>
      <c r="E744" s="35"/>
      <c r="G744" s="35"/>
      <c r="I744" s="35"/>
      <c r="K744" s="35"/>
      <c r="L744" s="35"/>
      <c r="N744" s="41"/>
      <c r="O744" s="41"/>
      <c r="P744" s="41"/>
      <c r="Q744" s="41"/>
      <c r="R744" s="41"/>
    </row>
    <row r="745">
      <c r="C745" s="35"/>
      <c r="E745" s="35"/>
      <c r="G745" s="35"/>
      <c r="I745" s="35"/>
      <c r="K745" s="35"/>
      <c r="L745" s="35"/>
      <c r="N745" s="41"/>
      <c r="O745" s="41"/>
      <c r="P745" s="41"/>
      <c r="Q745" s="41"/>
      <c r="R745" s="41"/>
    </row>
    <row r="746">
      <c r="C746" s="35"/>
      <c r="E746" s="35"/>
      <c r="G746" s="35"/>
      <c r="I746" s="35"/>
      <c r="K746" s="35"/>
      <c r="L746" s="35"/>
      <c r="N746" s="41"/>
      <c r="O746" s="41"/>
      <c r="P746" s="41"/>
      <c r="Q746" s="41"/>
      <c r="R746" s="41"/>
    </row>
    <row r="747">
      <c r="C747" s="35"/>
      <c r="E747" s="35"/>
      <c r="G747" s="35"/>
      <c r="I747" s="35"/>
      <c r="K747" s="35"/>
      <c r="L747" s="35"/>
      <c r="N747" s="41"/>
      <c r="O747" s="41"/>
      <c r="P747" s="41"/>
      <c r="Q747" s="41"/>
      <c r="R747" s="41"/>
    </row>
    <row r="748">
      <c r="C748" s="35"/>
      <c r="E748" s="35"/>
      <c r="G748" s="35"/>
      <c r="I748" s="35"/>
      <c r="K748" s="35"/>
      <c r="L748" s="35"/>
      <c r="N748" s="41"/>
      <c r="O748" s="41"/>
      <c r="P748" s="41"/>
      <c r="Q748" s="41"/>
      <c r="R748" s="41"/>
    </row>
    <row r="749">
      <c r="C749" s="35"/>
      <c r="E749" s="35"/>
      <c r="G749" s="35"/>
      <c r="I749" s="35"/>
      <c r="K749" s="35"/>
      <c r="L749" s="35"/>
      <c r="N749" s="41"/>
      <c r="O749" s="41"/>
      <c r="P749" s="41"/>
      <c r="Q749" s="41"/>
      <c r="R749" s="41"/>
    </row>
    <row r="750">
      <c r="C750" s="35"/>
      <c r="E750" s="35"/>
      <c r="G750" s="35"/>
      <c r="I750" s="35"/>
      <c r="K750" s="35"/>
      <c r="L750" s="35"/>
      <c r="N750" s="41"/>
      <c r="O750" s="41"/>
      <c r="P750" s="41"/>
      <c r="Q750" s="41"/>
      <c r="R750" s="41"/>
    </row>
    <row r="751">
      <c r="C751" s="35"/>
      <c r="E751" s="35"/>
      <c r="G751" s="35"/>
      <c r="I751" s="35"/>
      <c r="K751" s="35"/>
      <c r="L751" s="35"/>
      <c r="N751" s="41"/>
      <c r="O751" s="41"/>
      <c r="P751" s="41"/>
      <c r="Q751" s="41"/>
      <c r="R751" s="41"/>
    </row>
    <row r="752">
      <c r="C752" s="35"/>
      <c r="E752" s="35"/>
      <c r="G752" s="35"/>
      <c r="I752" s="35"/>
      <c r="K752" s="35"/>
      <c r="L752" s="35"/>
      <c r="N752" s="41"/>
      <c r="O752" s="41"/>
      <c r="P752" s="41"/>
      <c r="Q752" s="41"/>
      <c r="R752" s="41"/>
    </row>
    <row r="753">
      <c r="C753" s="35"/>
      <c r="E753" s="35"/>
      <c r="G753" s="35"/>
      <c r="I753" s="35"/>
      <c r="K753" s="35"/>
      <c r="L753" s="35"/>
      <c r="N753" s="41"/>
      <c r="O753" s="41"/>
      <c r="P753" s="41"/>
      <c r="Q753" s="41"/>
      <c r="R753" s="41"/>
    </row>
    <row r="754">
      <c r="C754" s="35"/>
      <c r="E754" s="35"/>
      <c r="G754" s="35"/>
      <c r="I754" s="35"/>
      <c r="K754" s="35"/>
      <c r="L754" s="35"/>
      <c r="N754" s="41"/>
      <c r="O754" s="41"/>
      <c r="P754" s="41"/>
      <c r="Q754" s="41"/>
      <c r="R754" s="41"/>
    </row>
    <row r="755">
      <c r="C755" s="35"/>
      <c r="E755" s="35"/>
      <c r="G755" s="35"/>
      <c r="I755" s="35"/>
      <c r="K755" s="35"/>
      <c r="L755" s="35"/>
      <c r="N755" s="41"/>
      <c r="O755" s="41"/>
      <c r="P755" s="41"/>
      <c r="Q755" s="41"/>
      <c r="R755" s="41"/>
    </row>
    <row r="756">
      <c r="C756" s="35"/>
      <c r="E756" s="35"/>
      <c r="G756" s="35"/>
      <c r="I756" s="35"/>
      <c r="K756" s="35"/>
      <c r="L756" s="35"/>
      <c r="N756" s="41"/>
      <c r="O756" s="41"/>
      <c r="P756" s="41"/>
      <c r="Q756" s="41"/>
      <c r="R756" s="41"/>
    </row>
    <row r="757">
      <c r="C757" s="35"/>
      <c r="E757" s="35"/>
      <c r="G757" s="35"/>
      <c r="I757" s="35"/>
      <c r="K757" s="35"/>
      <c r="L757" s="35"/>
      <c r="N757" s="41"/>
      <c r="O757" s="41"/>
      <c r="P757" s="41"/>
      <c r="Q757" s="41"/>
      <c r="R757" s="41"/>
    </row>
    <row r="758">
      <c r="C758" s="35"/>
      <c r="E758" s="35"/>
      <c r="G758" s="35"/>
      <c r="I758" s="35"/>
      <c r="K758" s="35"/>
      <c r="L758" s="35"/>
      <c r="N758" s="41"/>
      <c r="O758" s="41"/>
      <c r="P758" s="41"/>
      <c r="Q758" s="41"/>
      <c r="R758" s="41"/>
    </row>
    <row r="759">
      <c r="C759" s="35"/>
      <c r="E759" s="35"/>
      <c r="G759" s="35"/>
      <c r="I759" s="35"/>
      <c r="K759" s="35"/>
      <c r="L759" s="35"/>
      <c r="N759" s="41"/>
      <c r="O759" s="41"/>
      <c r="P759" s="41"/>
      <c r="Q759" s="41"/>
      <c r="R759" s="41"/>
    </row>
    <row r="760">
      <c r="C760" s="35"/>
      <c r="E760" s="35"/>
      <c r="G760" s="35"/>
      <c r="I760" s="35"/>
      <c r="K760" s="35"/>
      <c r="L760" s="35"/>
      <c r="N760" s="41"/>
      <c r="O760" s="41"/>
      <c r="P760" s="41"/>
      <c r="Q760" s="41"/>
      <c r="R760" s="41"/>
    </row>
    <row r="761">
      <c r="C761" s="35"/>
      <c r="E761" s="35"/>
      <c r="G761" s="35"/>
      <c r="I761" s="35"/>
      <c r="K761" s="35"/>
      <c r="L761" s="35"/>
      <c r="N761" s="41"/>
      <c r="O761" s="41"/>
      <c r="P761" s="41"/>
      <c r="Q761" s="41"/>
      <c r="R761" s="41"/>
    </row>
    <row r="762">
      <c r="C762" s="35"/>
      <c r="E762" s="35"/>
      <c r="G762" s="35"/>
      <c r="I762" s="35"/>
      <c r="K762" s="35"/>
      <c r="L762" s="35"/>
      <c r="N762" s="41"/>
      <c r="O762" s="41"/>
      <c r="P762" s="41"/>
      <c r="Q762" s="41"/>
      <c r="R762" s="41"/>
    </row>
    <row r="763">
      <c r="C763" s="35"/>
      <c r="E763" s="35"/>
      <c r="G763" s="35"/>
      <c r="I763" s="35"/>
      <c r="K763" s="35"/>
      <c r="L763" s="35"/>
      <c r="N763" s="41"/>
      <c r="O763" s="41"/>
      <c r="P763" s="41"/>
      <c r="Q763" s="41"/>
      <c r="R763" s="41"/>
    </row>
    <row r="764">
      <c r="C764" s="35"/>
      <c r="E764" s="35"/>
      <c r="G764" s="35"/>
      <c r="I764" s="35"/>
      <c r="K764" s="35"/>
      <c r="L764" s="35"/>
      <c r="N764" s="41"/>
      <c r="O764" s="41"/>
      <c r="P764" s="41"/>
      <c r="Q764" s="41"/>
      <c r="R764" s="41"/>
    </row>
    <row r="765">
      <c r="C765" s="35"/>
      <c r="E765" s="35"/>
      <c r="G765" s="35"/>
      <c r="I765" s="35"/>
      <c r="K765" s="35"/>
      <c r="L765" s="35"/>
      <c r="N765" s="41"/>
      <c r="O765" s="41"/>
      <c r="P765" s="41"/>
      <c r="Q765" s="41"/>
      <c r="R765" s="41"/>
    </row>
    <row r="766">
      <c r="C766" s="35"/>
      <c r="E766" s="35"/>
      <c r="G766" s="35"/>
      <c r="I766" s="35"/>
      <c r="K766" s="35"/>
      <c r="L766" s="35"/>
      <c r="N766" s="41"/>
      <c r="O766" s="41"/>
      <c r="P766" s="41"/>
      <c r="Q766" s="41"/>
      <c r="R766" s="41"/>
    </row>
    <row r="767">
      <c r="C767" s="35"/>
      <c r="E767" s="35"/>
      <c r="G767" s="35"/>
      <c r="I767" s="35"/>
      <c r="K767" s="35"/>
      <c r="L767" s="35"/>
      <c r="N767" s="41"/>
      <c r="O767" s="41"/>
      <c r="P767" s="41"/>
      <c r="Q767" s="41"/>
      <c r="R767" s="41"/>
    </row>
    <row r="768">
      <c r="C768" s="35"/>
      <c r="E768" s="35"/>
      <c r="G768" s="35"/>
      <c r="I768" s="35"/>
      <c r="K768" s="35"/>
      <c r="L768" s="35"/>
      <c r="N768" s="41"/>
      <c r="O768" s="41"/>
      <c r="P768" s="41"/>
      <c r="Q768" s="41"/>
      <c r="R768" s="41"/>
    </row>
    <row r="769">
      <c r="C769" s="35"/>
      <c r="E769" s="35"/>
      <c r="G769" s="35"/>
      <c r="I769" s="35"/>
      <c r="K769" s="35"/>
      <c r="L769" s="35"/>
      <c r="N769" s="41"/>
      <c r="O769" s="41"/>
      <c r="P769" s="41"/>
      <c r="Q769" s="41"/>
      <c r="R769" s="41"/>
    </row>
    <row r="770">
      <c r="C770" s="35"/>
      <c r="E770" s="35"/>
      <c r="G770" s="35"/>
      <c r="I770" s="35"/>
      <c r="K770" s="35"/>
      <c r="L770" s="35"/>
      <c r="N770" s="41"/>
      <c r="O770" s="41"/>
      <c r="P770" s="41"/>
      <c r="Q770" s="41"/>
      <c r="R770" s="41"/>
    </row>
    <row r="771">
      <c r="C771" s="35"/>
      <c r="E771" s="35"/>
      <c r="G771" s="35"/>
      <c r="I771" s="35"/>
      <c r="K771" s="35"/>
      <c r="L771" s="35"/>
      <c r="N771" s="41"/>
      <c r="O771" s="41"/>
      <c r="P771" s="41"/>
      <c r="Q771" s="41"/>
      <c r="R771" s="41"/>
    </row>
    <row r="772">
      <c r="C772" s="35"/>
      <c r="E772" s="35"/>
      <c r="G772" s="35"/>
      <c r="I772" s="35"/>
      <c r="K772" s="35"/>
      <c r="L772" s="35"/>
      <c r="N772" s="41"/>
      <c r="O772" s="41"/>
      <c r="P772" s="41"/>
      <c r="Q772" s="41"/>
      <c r="R772" s="41"/>
    </row>
    <row r="773">
      <c r="C773" s="35"/>
      <c r="E773" s="35"/>
      <c r="G773" s="35"/>
      <c r="I773" s="35"/>
      <c r="K773" s="35"/>
      <c r="L773" s="35"/>
      <c r="N773" s="41"/>
      <c r="O773" s="41"/>
      <c r="P773" s="41"/>
      <c r="Q773" s="41"/>
      <c r="R773" s="41"/>
    </row>
    <row r="774">
      <c r="C774" s="35"/>
      <c r="E774" s="35"/>
      <c r="G774" s="35"/>
      <c r="I774" s="35"/>
      <c r="K774" s="35"/>
      <c r="L774" s="35"/>
      <c r="N774" s="41"/>
      <c r="O774" s="41"/>
      <c r="P774" s="41"/>
      <c r="Q774" s="41"/>
      <c r="R774" s="41"/>
    </row>
    <row r="775">
      <c r="C775" s="35"/>
      <c r="E775" s="35"/>
      <c r="G775" s="35"/>
      <c r="I775" s="35"/>
      <c r="K775" s="35"/>
      <c r="L775" s="35"/>
      <c r="N775" s="41"/>
      <c r="O775" s="41"/>
      <c r="P775" s="41"/>
      <c r="Q775" s="41"/>
      <c r="R775" s="41"/>
    </row>
    <row r="776">
      <c r="C776" s="35"/>
      <c r="E776" s="35"/>
      <c r="G776" s="35"/>
      <c r="I776" s="35"/>
      <c r="K776" s="35"/>
      <c r="L776" s="35"/>
      <c r="N776" s="41"/>
      <c r="O776" s="41"/>
      <c r="P776" s="41"/>
      <c r="Q776" s="41"/>
      <c r="R776" s="41"/>
    </row>
    <row r="777">
      <c r="C777" s="35"/>
      <c r="E777" s="35"/>
      <c r="G777" s="35"/>
      <c r="I777" s="35"/>
      <c r="K777" s="35"/>
      <c r="L777" s="35"/>
      <c r="N777" s="41"/>
      <c r="O777" s="41"/>
      <c r="P777" s="41"/>
      <c r="Q777" s="41"/>
      <c r="R777" s="41"/>
    </row>
    <row r="778">
      <c r="C778" s="35"/>
      <c r="E778" s="35"/>
      <c r="G778" s="35"/>
      <c r="I778" s="35"/>
      <c r="K778" s="35"/>
      <c r="L778" s="35"/>
      <c r="N778" s="41"/>
      <c r="O778" s="41"/>
      <c r="P778" s="41"/>
      <c r="Q778" s="41"/>
      <c r="R778" s="41"/>
    </row>
    <row r="779">
      <c r="C779" s="35"/>
      <c r="E779" s="35"/>
      <c r="G779" s="35"/>
      <c r="I779" s="35"/>
      <c r="K779" s="35"/>
      <c r="L779" s="35"/>
      <c r="N779" s="41"/>
      <c r="O779" s="41"/>
      <c r="P779" s="41"/>
      <c r="Q779" s="41"/>
      <c r="R779" s="41"/>
    </row>
    <row r="780">
      <c r="C780" s="35"/>
      <c r="E780" s="35"/>
      <c r="G780" s="35"/>
      <c r="I780" s="35"/>
      <c r="K780" s="35"/>
      <c r="L780" s="35"/>
      <c r="N780" s="41"/>
      <c r="O780" s="41"/>
      <c r="P780" s="41"/>
      <c r="Q780" s="41"/>
      <c r="R780" s="41"/>
    </row>
    <row r="781">
      <c r="C781" s="35"/>
      <c r="E781" s="35"/>
      <c r="G781" s="35"/>
      <c r="I781" s="35"/>
      <c r="K781" s="35"/>
      <c r="L781" s="35"/>
      <c r="N781" s="41"/>
      <c r="O781" s="41"/>
      <c r="P781" s="41"/>
      <c r="Q781" s="41"/>
      <c r="R781" s="41"/>
    </row>
    <row r="782">
      <c r="C782" s="35"/>
      <c r="E782" s="35"/>
      <c r="G782" s="35"/>
      <c r="I782" s="35"/>
      <c r="K782" s="35"/>
      <c r="L782" s="35"/>
      <c r="N782" s="41"/>
      <c r="O782" s="41"/>
      <c r="P782" s="41"/>
      <c r="Q782" s="41"/>
      <c r="R782" s="41"/>
    </row>
    <row r="783">
      <c r="C783" s="35"/>
      <c r="E783" s="35"/>
      <c r="G783" s="35"/>
      <c r="I783" s="35"/>
      <c r="K783" s="35"/>
      <c r="L783" s="35"/>
      <c r="N783" s="41"/>
      <c r="O783" s="41"/>
      <c r="P783" s="41"/>
      <c r="Q783" s="41"/>
      <c r="R783" s="41"/>
    </row>
    <row r="784">
      <c r="C784" s="35"/>
      <c r="E784" s="35"/>
      <c r="G784" s="35"/>
      <c r="I784" s="35"/>
      <c r="K784" s="35"/>
      <c r="L784" s="35"/>
      <c r="N784" s="41"/>
      <c r="O784" s="41"/>
      <c r="P784" s="41"/>
      <c r="Q784" s="41"/>
      <c r="R784" s="41"/>
    </row>
    <row r="785">
      <c r="C785" s="35"/>
      <c r="E785" s="35"/>
      <c r="G785" s="35"/>
      <c r="I785" s="35"/>
      <c r="K785" s="35"/>
      <c r="L785" s="35"/>
      <c r="N785" s="41"/>
      <c r="O785" s="41"/>
      <c r="P785" s="41"/>
      <c r="Q785" s="41"/>
      <c r="R785" s="41"/>
    </row>
    <row r="786">
      <c r="C786" s="35"/>
      <c r="E786" s="35"/>
      <c r="G786" s="35"/>
      <c r="I786" s="35"/>
      <c r="K786" s="35"/>
      <c r="L786" s="35"/>
      <c r="N786" s="41"/>
      <c r="O786" s="41"/>
      <c r="P786" s="41"/>
      <c r="Q786" s="41"/>
      <c r="R786" s="41"/>
    </row>
    <row r="787">
      <c r="C787" s="35"/>
      <c r="E787" s="35"/>
      <c r="G787" s="35"/>
      <c r="I787" s="35"/>
      <c r="K787" s="35"/>
      <c r="L787" s="35"/>
      <c r="N787" s="41"/>
      <c r="O787" s="41"/>
      <c r="P787" s="41"/>
      <c r="Q787" s="41"/>
      <c r="R787" s="41"/>
    </row>
    <row r="788">
      <c r="C788" s="35"/>
      <c r="E788" s="35"/>
      <c r="G788" s="35"/>
      <c r="I788" s="35"/>
      <c r="K788" s="35"/>
      <c r="L788" s="35"/>
      <c r="N788" s="41"/>
      <c r="O788" s="41"/>
      <c r="P788" s="41"/>
      <c r="Q788" s="41"/>
      <c r="R788" s="41"/>
    </row>
    <row r="789">
      <c r="C789" s="35"/>
      <c r="E789" s="35"/>
      <c r="G789" s="35"/>
      <c r="I789" s="35"/>
      <c r="K789" s="35"/>
      <c r="L789" s="35"/>
      <c r="N789" s="41"/>
      <c r="O789" s="41"/>
      <c r="P789" s="41"/>
      <c r="Q789" s="41"/>
      <c r="R789" s="41"/>
    </row>
    <row r="790">
      <c r="C790" s="35"/>
      <c r="E790" s="35"/>
      <c r="G790" s="35"/>
      <c r="I790" s="35"/>
      <c r="K790" s="35"/>
      <c r="L790" s="35"/>
      <c r="N790" s="41"/>
      <c r="O790" s="41"/>
      <c r="P790" s="41"/>
      <c r="Q790" s="41"/>
      <c r="R790" s="41"/>
    </row>
    <row r="791">
      <c r="C791" s="35"/>
      <c r="E791" s="35"/>
      <c r="G791" s="35"/>
      <c r="I791" s="35"/>
      <c r="K791" s="35"/>
      <c r="L791" s="35"/>
      <c r="N791" s="41"/>
      <c r="O791" s="41"/>
      <c r="P791" s="41"/>
      <c r="Q791" s="41"/>
      <c r="R791" s="41"/>
    </row>
    <row r="792">
      <c r="C792" s="35"/>
      <c r="E792" s="35"/>
      <c r="G792" s="35"/>
      <c r="I792" s="35"/>
      <c r="K792" s="35"/>
      <c r="L792" s="35"/>
      <c r="N792" s="41"/>
      <c r="O792" s="41"/>
      <c r="P792" s="41"/>
      <c r="Q792" s="41"/>
      <c r="R792" s="41"/>
    </row>
    <row r="793">
      <c r="C793" s="35"/>
      <c r="E793" s="35"/>
      <c r="G793" s="35"/>
      <c r="I793" s="35"/>
      <c r="K793" s="35"/>
      <c r="L793" s="35"/>
      <c r="N793" s="41"/>
      <c r="O793" s="41"/>
      <c r="P793" s="41"/>
      <c r="Q793" s="41"/>
      <c r="R793" s="41"/>
    </row>
    <row r="794">
      <c r="C794" s="35"/>
      <c r="E794" s="35"/>
      <c r="G794" s="35"/>
      <c r="I794" s="35"/>
      <c r="K794" s="35"/>
      <c r="L794" s="35"/>
      <c r="N794" s="41"/>
      <c r="O794" s="41"/>
      <c r="P794" s="41"/>
      <c r="Q794" s="41"/>
      <c r="R794" s="41"/>
    </row>
    <row r="795">
      <c r="C795" s="35"/>
      <c r="E795" s="35"/>
      <c r="G795" s="35"/>
      <c r="I795" s="35"/>
      <c r="K795" s="35"/>
      <c r="L795" s="35"/>
      <c r="N795" s="41"/>
      <c r="O795" s="41"/>
      <c r="P795" s="41"/>
      <c r="Q795" s="41"/>
      <c r="R795" s="41"/>
    </row>
    <row r="796">
      <c r="C796" s="35"/>
      <c r="E796" s="35"/>
      <c r="G796" s="35"/>
      <c r="I796" s="35"/>
      <c r="K796" s="35"/>
      <c r="L796" s="35"/>
      <c r="N796" s="41"/>
      <c r="O796" s="41"/>
      <c r="P796" s="41"/>
      <c r="Q796" s="41"/>
      <c r="R796" s="41"/>
    </row>
    <row r="797">
      <c r="C797" s="35"/>
      <c r="E797" s="35"/>
      <c r="G797" s="35"/>
      <c r="I797" s="35"/>
      <c r="K797" s="35"/>
      <c r="L797" s="35"/>
      <c r="N797" s="41"/>
      <c r="O797" s="41"/>
      <c r="P797" s="41"/>
      <c r="Q797" s="41"/>
      <c r="R797" s="41"/>
    </row>
    <row r="798">
      <c r="C798" s="35"/>
      <c r="E798" s="35"/>
      <c r="G798" s="35"/>
      <c r="I798" s="35"/>
      <c r="K798" s="35"/>
      <c r="L798" s="35"/>
      <c r="N798" s="41"/>
      <c r="O798" s="41"/>
      <c r="P798" s="41"/>
      <c r="Q798" s="41"/>
      <c r="R798" s="41"/>
    </row>
    <row r="799">
      <c r="C799" s="35"/>
      <c r="E799" s="35"/>
      <c r="G799" s="35"/>
      <c r="I799" s="35"/>
      <c r="K799" s="35"/>
      <c r="L799" s="35"/>
      <c r="N799" s="41"/>
      <c r="O799" s="41"/>
      <c r="P799" s="41"/>
      <c r="Q799" s="41"/>
      <c r="R799" s="41"/>
    </row>
    <row r="800">
      <c r="C800" s="35"/>
      <c r="E800" s="35"/>
      <c r="G800" s="35"/>
      <c r="I800" s="35"/>
      <c r="K800" s="35"/>
      <c r="L800" s="35"/>
      <c r="N800" s="41"/>
      <c r="O800" s="41"/>
      <c r="P800" s="41"/>
      <c r="Q800" s="41"/>
      <c r="R800" s="41"/>
    </row>
    <row r="801">
      <c r="C801" s="35"/>
      <c r="E801" s="35"/>
      <c r="G801" s="35"/>
      <c r="I801" s="35"/>
      <c r="K801" s="35"/>
      <c r="L801" s="35"/>
      <c r="N801" s="41"/>
      <c r="O801" s="41"/>
      <c r="P801" s="41"/>
      <c r="Q801" s="41"/>
      <c r="R801" s="41"/>
    </row>
    <row r="802">
      <c r="C802" s="35"/>
      <c r="E802" s="35"/>
      <c r="G802" s="35"/>
      <c r="I802" s="35"/>
      <c r="K802" s="35"/>
      <c r="L802" s="35"/>
      <c r="N802" s="41"/>
      <c r="O802" s="41"/>
      <c r="P802" s="41"/>
      <c r="Q802" s="41"/>
      <c r="R802" s="41"/>
    </row>
    <row r="803">
      <c r="C803" s="35"/>
      <c r="E803" s="35"/>
      <c r="G803" s="35"/>
      <c r="I803" s="35"/>
      <c r="K803" s="35"/>
      <c r="L803" s="35"/>
      <c r="N803" s="41"/>
      <c r="O803" s="41"/>
      <c r="P803" s="41"/>
      <c r="Q803" s="41"/>
      <c r="R803" s="41"/>
    </row>
    <row r="804">
      <c r="C804" s="35"/>
      <c r="E804" s="35"/>
      <c r="G804" s="35"/>
      <c r="I804" s="35"/>
      <c r="K804" s="35"/>
      <c r="L804" s="35"/>
      <c r="N804" s="41"/>
      <c r="O804" s="41"/>
      <c r="P804" s="41"/>
      <c r="Q804" s="41"/>
      <c r="R804" s="41"/>
    </row>
    <row r="805">
      <c r="C805" s="35"/>
      <c r="E805" s="35"/>
      <c r="G805" s="35"/>
      <c r="I805" s="35"/>
      <c r="K805" s="35"/>
      <c r="L805" s="35"/>
      <c r="N805" s="41"/>
      <c r="O805" s="41"/>
      <c r="P805" s="41"/>
      <c r="Q805" s="41"/>
      <c r="R805" s="41"/>
    </row>
    <row r="806">
      <c r="C806" s="35"/>
      <c r="E806" s="35"/>
      <c r="G806" s="35"/>
      <c r="I806" s="35"/>
      <c r="K806" s="35"/>
      <c r="L806" s="35"/>
      <c r="N806" s="41"/>
      <c r="O806" s="41"/>
      <c r="P806" s="41"/>
      <c r="Q806" s="41"/>
      <c r="R806" s="41"/>
    </row>
    <row r="807">
      <c r="C807" s="35"/>
      <c r="E807" s="35"/>
      <c r="G807" s="35"/>
      <c r="I807" s="35"/>
      <c r="K807" s="35"/>
      <c r="L807" s="35"/>
      <c r="N807" s="41"/>
      <c r="O807" s="41"/>
      <c r="P807" s="41"/>
      <c r="Q807" s="41"/>
      <c r="R807" s="41"/>
    </row>
    <row r="808">
      <c r="C808" s="35"/>
      <c r="E808" s="35"/>
      <c r="G808" s="35"/>
      <c r="I808" s="35"/>
      <c r="K808" s="35"/>
      <c r="L808" s="35"/>
      <c r="N808" s="41"/>
      <c r="O808" s="41"/>
      <c r="P808" s="41"/>
      <c r="Q808" s="41"/>
      <c r="R808" s="41"/>
    </row>
    <row r="809">
      <c r="C809" s="35"/>
      <c r="E809" s="35"/>
      <c r="G809" s="35"/>
      <c r="I809" s="35"/>
      <c r="K809" s="35"/>
      <c r="L809" s="35"/>
      <c r="N809" s="41"/>
      <c r="O809" s="41"/>
      <c r="P809" s="41"/>
      <c r="Q809" s="41"/>
      <c r="R809" s="41"/>
    </row>
    <row r="810">
      <c r="C810" s="35"/>
      <c r="E810" s="35"/>
      <c r="G810" s="35"/>
      <c r="I810" s="35"/>
      <c r="K810" s="35"/>
      <c r="L810" s="35"/>
      <c r="N810" s="41"/>
      <c r="O810" s="41"/>
      <c r="P810" s="41"/>
      <c r="Q810" s="41"/>
      <c r="R810" s="41"/>
    </row>
    <row r="811">
      <c r="C811" s="35"/>
      <c r="E811" s="35"/>
      <c r="G811" s="35"/>
      <c r="I811" s="35"/>
      <c r="K811" s="35"/>
      <c r="L811" s="35"/>
      <c r="N811" s="41"/>
      <c r="O811" s="41"/>
      <c r="P811" s="41"/>
      <c r="Q811" s="41"/>
      <c r="R811" s="41"/>
    </row>
    <row r="812">
      <c r="C812" s="35"/>
      <c r="E812" s="35"/>
      <c r="G812" s="35"/>
      <c r="I812" s="35"/>
      <c r="K812" s="35"/>
      <c r="L812" s="35"/>
      <c r="N812" s="41"/>
      <c r="O812" s="41"/>
      <c r="P812" s="41"/>
      <c r="Q812" s="41"/>
      <c r="R812" s="41"/>
    </row>
    <row r="813">
      <c r="C813" s="35"/>
      <c r="E813" s="35"/>
      <c r="G813" s="35"/>
      <c r="I813" s="35"/>
      <c r="K813" s="35"/>
      <c r="L813" s="35"/>
      <c r="N813" s="41"/>
      <c r="O813" s="41"/>
      <c r="P813" s="41"/>
      <c r="Q813" s="41"/>
      <c r="R813" s="41"/>
    </row>
    <row r="814">
      <c r="C814" s="35"/>
      <c r="E814" s="35"/>
      <c r="G814" s="35"/>
      <c r="I814" s="35"/>
      <c r="K814" s="35"/>
      <c r="L814" s="35"/>
      <c r="N814" s="41"/>
      <c r="O814" s="41"/>
      <c r="P814" s="41"/>
      <c r="Q814" s="41"/>
      <c r="R814" s="41"/>
    </row>
    <row r="815">
      <c r="C815" s="35"/>
      <c r="E815" s="35"/>
      <c r="G815" s="35"/>
      <c r="I815" s="35"/>
      <c r="K815" s="35"/>
      <c r="L815" s="35"/>
      <c r="N815" s="41"/>
      <c r="O815" s="41"/>
      <c r="P815" s="41"/>
      <c r="Q815" s="41"/>
      <c r="R815" s="41"/>
    </row>
    <row r="816">
      <c r="C816" s="35"/>
      <c r="E816" s="35"/>
      <c r="G816" s="35"/>
      <c r="I816" s="35"/>
      <c r="K816" s="35"/>
      <c r="L816" s="35"/>
      <c r="N816" s="41"/>
      <c r="O816" s="41"/>
      <c r="P816" s="41"/>
      <c r="Q816" s="41"/>
      <c r="R816" s="41"/>
    </row>
    <row r="817">
      <c r="C817" s="35"/>
      <c r="E817" s="35"/>
      <c r="G817" s="35"/>
      <c r="I817" s="35"/>
      <c r="K817" s="35"/>
      <c r="L817" s="35"/>
      <c r="N817" s="41"/>
      <c r="O817" s="41"/>
      <c r="P817" s="41"/>
      <c r="Q817" s="41"/>
      <c r="R817" s="41"/>
    </row>
    <row r="818">
      <c r="C818" s="35"/>
      <c r="E818" s="35"/>
      <c r="G818" s="35"/>
      <c r="I818" s="35"/>
      <c r="K818" s="35"/>
      <c r="L818" s="35"/>
      <c r="N818" s="41"/>
      <c r="O818" s="41"/>
      <c r="P818" s="41"/>
      <c r="Q818" s="41"/>
      <c r="R818" s="41"/>
    </row>
    <row r="819">
      <c r="C819" s="35"/>
      <c r="E819" s="35"/>
      <c r="G819" s="35"/>
      <c r="I819" s="35"/>
      <c r="K819" s="35"/>
      <c r="L819" s="35"/>
      <c r="N819" s="41"/>
      <c r="O819" s="41"/>
      <c r="P819" s="41"/>
      <c r="Q819" s="41"/>
      <c r="R819" s="41"/>
    </row>
    <row r="820">
      <c r="C820" s="35"/>
      <c r="E820" s="35"/>
      <c r="G820" s="35"/>
      <c r="I820" s="35"/>
      <c r="K820" s="35"/>
      <c r="L820" s="35"/>
      <c r="N820" s="41"/>
      <c r="O820" s="41"/>
      <c r="P820" s="41"/>
      <c r="Q820" s="41"/>
      <c r="R820" s="41"/>
    </row>
    <row r="821">
      <c r="C821" s="35"/>
      <c r="E821" s="35"/>
      <c r="G821" s="35"/>
      <c r="I821" s="35"/>
      <c r="K821" s="35"/>
      <c r="L821" s="35"/>
      <c r="N821" s="41"/>
      <c r="O821" s="41"/>
      <c r="P821" s="41"/>
      <c r="Q821" s="41"/>
      <c r="R821" s="41"/>
    </row>
    <row r="822">
      <c r="C822" s="35"/>
      <c r="E822" s="35"/>
      <c r="G822" s="35"/>
      <c r="I822" s="35"/>
      <c r="K822" s="35"/>
      <c r="L822" s="35"/>
      <c r="N822" s="41"/>
      <c r="O822" s="41"/>
      <c r="P822" s="41"/>
      <c r="Q822" s="41"/>
      <c r="R822" s="41"/>
    </row>
    <row r="823">
      <c r="C823" s="35"/>
      <c r="E823" s="35"/>
      <c r="G823" s="35"/>
      <c r="I823" s="35"/>
      <c r="K823" s="35"/>
      <c r="L823" s="35"/>
      <c r="N823" s="41"/>
      <c r="O823" s="41"/>
      <c r="P823" s="41"/>
      <c r="Q823" s="41"/>
      <c r="R823" s="41"/>
    </row>
    <row r="824">
      <c r="C824" s="35"/>
      <c r="E824" s="35"/>
      <c r="G824" s="35"/>
      <c r="I824" s="35"/>
      <c r="K824" s="35"/>
      <c r="L824" s="35"/>
      <c r="N824" s="41"/>
      <c r="O824" s="41"/>
      <c r="P824" s="41"/>
      <c r="Q824" s="41"/>
      <c r="R824" s="41"/>
    </row>
    <row r="825">
      <c r="C825" s="35"/>
      <c r="E825" s="35"/>
      <c r="G825" s="35"/>
      <c r="I825" s="35"/>
      <c r="K825" s="35"/>
      <c r="L825" s="35"/>
      <c r="N825" s="41"/>
      <c r="O825" s="41"/>
      <c r="P825" s="41"/>
      <c r="Q825" s="41"/>
      <c r="R825" s="41"/>
    </row>
    <row r="826">
      <c r="C826" s="35"/>
      <c r="E826" s="35"/>
      <c r="G826" s="35"/>
      <c r="I826" s="35"/>
      <c r="K826" s="35"/>
      <c r="L826" s="35"/>
      <c r="N826" s="41"/>
      <c r="O826" s="41"/>
      <c r="P826" s="41"/>
      <c r="Q826" s="41"/>
      <c r="R826" s="41"/>
    </row>
    <row r="827">
      <c r="C827" s="35"/>
      <c r="E827" s="35"/>
      <c r="G827" s="35"/>
      <c r="I827" s="35"/>
      <c r="K827" s="35"/>
      <c r="L827" s="35"/>
      <c r="N827" s="41"/>
      <c r="O827" s="41"/>
      <c r="P827" s="41"/>
      <c r="Q827" s="41"/>
      <c r="R827" s="41"/>
    </row>
    <row r="828">
      <c r="C828" s="35"/>
      <c r="E828" s="35"/>
      <c r="G828" s="35"/>
      <c r="I828" s="35"/>
      <c r="K828" s="35"/>
      <c r="L828" s="35"/>
      <c r="N828" s="41"/>
      <c r="O828" s="41"/>
      <c r="P828" s="41"/>
      <c r="Q828" s="41"/>
      <c r="R828" s="41"/>
    </row>
    <row r="829">
      <c r="C829" s="35"/>
      <c r="E829" s="35"/>
      <c r="G829" s="35"/>
      <c r="I829" s="35"/>
      <c r="K829" s="35"/>
      <c r="L829" s="35"/>
      <c r="N829" s="41"/>
      <c r="O829" s="41"/>
      <c r="P829" s="41"/>
      <c r="Q829" s="41"/>
      <c r="R829" s="41"/>
    </row>
    <row r="830">
      <c r="C830" s="35"/>
      <c r="E830" s="35"/>
      <c r="G830" s="35"/>
      <c r="I830" s="35"/>
      <c r="K830" s="35"/>
      <c r="L830" s="35"/>
      <c r="N830" s="41"/>
      <c r="O830" s="41"/>
      <c r="P830" s="41"/>
      <c r="Q830" s="41"/>
      <c r="R830" s="41"/>
    </row>
    <row r="831">
      <c r="C831" s="35"/>
      <c r="E831" s="35"/>
      <c r="G831" s="35"/>
      <c r="I831" s="35"/>
      <c r="K831" s="35"/>
      <c r="L831" s="35"/>
      <c r="N831" s="41"/>
      <c r="O831" s="41"/>
      <c r="P831" s="41"/>
      <c r="Q831" s="41"/>
      <c r="R831" s="41"/>
    </row>
    <row r="832">
      <c r="C832" s="35"/>
      <c r="E832" s="35"/>
      <c r="G832" s="35"/>
      <c r="I832" s="35"/>
      <c r="K832" s="35"/>
      <c r="L832" s="35"/>
      <c r="N832" s="41"/>
      <c r="O832" s="41"/>
      <c r="P832" s="41"/>
      <c r="Q832" s="41"/>
      <c r="R832" s="41"/>
    </row>
    <row r="833">
      <c r="C833" s="35"/>
      <c r="E833" s="35"/>
      <c r="G833" s="35"/>
      <c r="I833" s="35"/>
      <c r="K833" s="35"/>
      <c r="L833" s="35"/>
      <c r="N833" s="41"/>
      <c r="O833" s="41"/>
      <c r="P833" s="41"/>
      <c r="Q833" s="41"/>
      <c r="R833" s="41"/>
    </row>
    <row r="834">
      <c r="C834" s="35"/>
      <c r="E834" s="35"/>
      <c r="G834" s="35"/>
      <c r="I834" s="35"/>
      <c r="K834" s="35"/>
      <c r="L834" s="35"/>
      <c r="N834" s="41"/>
      <c r="O834" s="41"/>
      <c r="P834" s="41"/>
      <c r="Q834" s="41"/>
      <c r="R834" s="41"/>
    </row>
    <row r="835">
      <c r="C835" s="35"/>
      <c r="E835" s="35"/>
      <c r="G835" s="35"/>
      <c r="I835" s="35"/>
      <c r="K835" s="35"/>
      <c r="L835" s="35"/>
      <c r="N835" s="41"/>
      <c r="O835" s="41"/>
      <c r="P835" s="41"/>
      <c r="Q835" s="41"/>
      <c r="R835" s="41"/>
    </row>
    <row r="836">
      <c r="C836" s="35"/>
      <c r="E836" s="35"/>
      <c r="G836" s="35"/>
      <c r="I836" s="35"/>
      <c r="K836" s="35"/>
      <c r="L836" s="35"/>
      <c r="N836" s="41"/>
      <c r="O836" s="41"/>
      <c r="P836" s="41"/>
      <c r="Q836" s="41"/>
      <c r="R836" s="41"/>
    </row>
    <row r="837">
      <c r="C837" s="35"/>
      <c r="E837" s="35"/>
      <c r="G837" s="35"/>
      <c r="I837" s="35"/>
      <c r="K837" s="35"/>
      <c r="L837" s="35"/>
      <c r="N837" s="41"/>
      <c r="O837" s="41"/>
      <c r="P837" s="41"/>
      <c r="Q837" s="41"/>
      <c r="R837" s="41"/>
    </row>
    <row r="838">
      <c r="C838" s="35"/>
      <c r="E838" s="35"/>
      <c r="G838" s="35"/>
      <c r="I838" s="35"/>
      <c r="K838" s="35"/>
      <c r="L838" s="35"/>
      <c r="N838" s="41"/>
      <c r="O838" s="41"/>
      <c r="P838" s="41"/>
      <c r="Q838" s="41"/>
      <c r="R838" s="41"/>
    </row>
    <row r="839">
      <c r="C839" s="35"/>
      <c r="E839" s="35"/>
      <c r="G839" s="35"/>
      <c r="I839" s="35"/>
      <c r="K839" s="35"/>
      <c r="L839" s="35"/>
      <c r="N839" s="41"/>
      <c r="O839" s="41"/>
      <c r="P839" s="41"/>
      <c r="Q839" s="41"/>
      <c r="R839" s="41"/>
    </row>
    <row r="840">
      <c r="C840" s="35"/>
      <c r="E840" s="35"/>
      <c r="G840" s="35"/>
      <c r="I840" s="35"/>
      <c r="K840" s="35"/>
      <c r="L840" s="35"/>
      <c r="N840" s="41"/>
      <c r="O840" s="41"/>
      <c r="P840" s="41"/>
      <c r="Q840" s="41"/>
      <c r="R840" s="41"/>
    </row>
    <row r="841">
      <c r="C841" s="35"/>
      <c r="E841" s="35"/>
      <c r="G841" s="35"/>
      <c r="I841" s="35"/>
      <c r="K841" s="35"/>
      <c r="L841" s="35"/>
      <c r="N841" s="41"/>
      <c r="O841" s="41"/>
      <c r="P841" s="41"/>
      <c r="Q841" s="41"/>
      <c r="R841" s="41"/>
    </row>
    <row r="842">
      <c r="C842" s="35"/>
      <c r="E842" s="35"/>
      <c r="G842" s="35"/>
      <c r="I842" s="35"/>
      <c r="K842" s="35"/>
      <c r="L842" s="35"/>
      <c r="N842" s="41"/>
      <c r="O842" s="41"/>
      <c r="P842" s="41"/>
      <c r="Q842" s="41"/>
      <c r="R842" s="41"/>
    </row>
    <row r="843">
      <c r="C843" s="35"/>
      <c r="E843" s="35"/>
      <c r="G843" s="35"/>
      <c r="I843" s="35"/>
      <c r="K843" s="35"/>
      <c r="L843" s="35"/>
      <c r="N843" s="41"/>
      <c r="O843" s="41"/>
      <c r="P843" s="41"/>
      <c r="Q843" s="41"/>
      <c r="R843" s="41"/>
    </row>
    <row r="844">
      <c r="C844" s="35"/>
      <c r="E844" s="35"/>
      <c r="G844" s="35"/>
      <c r="I844" s="35"/>
      <c r="K844" s="35"/>
      <c r="L844" s="35"/>
      <c r="N844" s="41"/>
      <c r="O844" s="41"/>
      <c r="P844" s="41"/>
      <c r="Q844" s="41"/>
      <c r="R844" s="41"/>
    </row>
    <row r="845">
      <c r="C845" s="35"/>
      <c r="E845" s="35"/>
      <c r="G845" s="35"/>
      <c r="I845" s="35"/>
      <c r="K845" s="35"/>
      <c r="L845" s="35"/>
      <c r="N845" s="41"/>
      <c r="O845" s="41"/>
      <c r="P845" s="41"/>
      <c r="Q845" s="41"/>
      <c r="R845" s="41"/>
    </row>
    <row r="846">
      <c r="C846" s="35"/>
      <c r="E846" s="35"/>
      <c r="G846" s="35"/>
      <c r="I846" s="35"/>
      <c r="K846" s="35"/>
      <c r="L846" s="35"/>
      <c r="N846" s="41"/>
      <c r="O846" s="41"/>
      <c r="P846" s="41"/>
      <c r="Q846" s="41"/>
      <c r="R846" s="41"/>
    </row>
    <row r="847">
      <c r="C847" s="35"/>
      <c r="E847" s="35"/>
      <c r="G847" s="35"/>
      <c r="I847" s="35"/>
      <c r="K847" s="35"/>
      <c r="L847" s="35"/>
      <c r="N847" s="41"/>
      <c r="O847" s="41"/>
      <c r="P847" s="41"/>
      <c r="Q847" s="41"/>
      <c r="R847" s="41"/>
    </row>
    <row r="848">
      <c r="C848" s="35"/>
      <c r="E848" s="35"/>
      <c r="G848" s="35"/>
      <c r="I848" s="35"/>
      <c r="K848" s="35"/>
      <c r="L848" s="35"/>
      <c r="N848" s="41"/>
      <c r="O848" s="41"/>
      <c r="P848" s="41"/>
      <c r="Q848" s="41"/>
      <c r="R848" s="41"/>
    </row>
    <row r="849">
      <c r="C849" s="35"/>
      <c r="E849" s="35"/>
      <c r="G849" s="35"/>
      <c r="I849" s="35"/>
      <c r="K849" s="35"/>
      <c r="L849" s="35"/>
      <c r="N849" s="41"/>
      <c r="O849" s="41"/>
      <c r="P849" s="41"/>
      <c r="Q849" s="41"/>
      <c r="R849" s="41"/>
    </row>
    <row r="850">
      <c r="C850" s="35"/>
      <c r="E850" s="35"/>
      <c r="G850" s="35"/>
      <c r="I850" s="35"/>
      <c r="K850" s="35"/>
      <c r="L850" s="35"/>
      <c r="N850" s="41"/>
      <c r="O850" s="41"/>
      <c r="P850" s="41"/>
      <c r="Q850" s="41"/>
      <c r="R850" s="41"/>
    </row>
    <row r="851">
      <c r="C851" s="35"/>
      <c r="E851" s="35"/>
      <c r="G851" s="35"/>
      <c r="I851" s="35"/>
      <c r="K851" s="35"/>
      <c r="L851" s="35"/>
      <c r="N851" s="41"/>
      <c r="O851" s="41"/>
      <c r="P851" s="41"/>
      <c r="Q851" s="41"/>
      <c r="R851" s="41"/>
    </row>
    <row r="852">
      <c r="C852" s="35"/>
      <c r="E852" s="35"/>
      <c r="G852" s="35"/>
      <c r="I852" s="35"/>
      <c r="K852" s="35"/>
      <c r="L852" s="35"/>
      <c r="N852" s="41"/>
      <c r="O852" s="41"/>
      <c r="P852" s="41"/>
      <c r="Q852" s="41"/>
      <c r="R852" s="41"/>
    </row>
    <row r="853">
      <c r="C853" s="35"/>
      <c r="E853" s="35"/>
      <c r="G853" s="35"/>
      <c r="I853" s="35"/>
      <c r="K853" s="35"/>
      <c r="L853" s="35"/>
      <c r="N853" s="41"/>
      <c r="O853" s="41"/>
      <c r="P853" s="41"/>
      <c r="Q853" s="41"/>
      <c r="R853" s="41"/>
    </row>
    <row r="854">
      <c r="C854" s="35"/>
      <c r="E854" s="35"/>
      <c r="G854" s="35"/>
      <c r="I854" s="35"/>
      <c r="K854" s="35"/>
      <c r="L854" s="35"/>
      <c r="N854" s="41"/>
      <c r="O854" s="41"/>
      <c r="P854" s="41"/>
      <c r="Q854" s="41"/>
      <c r="R854" s="41"/>
    </row>
    <row r="855">
      <c r="C855" s="35"/>
      <c r="E855" s="35"/>
      <c r="G855" s="35"/>
      <c r="I855" s="35"/>
      <c r="K855" s="35"/>
      <c r="L855" s="35"/>
      <c r="N855" s="41"/>
      <c r="O855" s="41"/>
      <c r="P855" s="41"/>
      <c r="Q855" s="41"/>
      <c r="R855" s="41"/>
    </row>
    <row r="856">
      <c r="C856" s="35"/>
      <c r="E856" s="35"/>
      <c r="G856" s="35"/>
      <c r="I856" s="35"/>
      <c r="K856" s="35"/>
      <c r="L856" s="35"/>
      <c r="N856" s="41"/>
      <c r="O856" s="41"/>
      <c r="P856" s="41"/>
      <c r="Q856" s="41"/>
      <c r="R856" s="41"/>
    </row>
    <row r="857">
      <c r="C857" s="35"/>
      <c r="E857" s="35"/>
      <c r="G857" s="35"/>
      <c r="I857" s="35"/>
      <c r="K857" s="35"/>
      <c r="L857" s="35"/>
      <c r="N857" s="41"/>
      <c r="O857" s="41"/>
      <c r="P857" s="41"/>
      <c r="Q857" s="41"/>
      <c r="R857" s="41"/>
    </row>
    <row r="858">
      <c r="C858" s="35"/>
      <c r="E858" s="35"/>
      <c r="G858" s="35"/>
      <c r="I858" s="35"/>
      <c r="K858" s="35"/>
      <c r="L858" s="35"/>
      <c r="N858" s="41"/>
      <c r="O858" s="41"/>
      <c r="P858" s="41"/>
      <c r="Q858" s="41"/>
      <c r="R858" s="41"/>
    </row>
    <row r="859">
      <c r="C859" s="35"/>
      <c r="E859" s="35"/>
      <c r="G859" s="35"/>
      <c r="I859" s="35"/>
      <c r="K859" s="35"/>
      <c r="L859" s="35"/>
      <c r="N859" s="41"/>
      <c r="O859" s="41"/>
      <c r="P859" s="41"/>
      <c r="Q859" s="41"/>
      <c r="R859" s="41"/>
    </row>
    <row r="860">
      <c r="C860" s="35"/>
      <c r="E860" s="35"/>
      <c r="G860" s="35"/>
      <c r="I860" s="35"/>
      <c r="K860" s="35"/>
      <c r="L860" s="35"/>
      <c r="N860" s="41"/>
      <c r="O860" s="41"/>
      <c r="P860" s="41"/>
      <c r="Q860" s="41"/>
      <c r="R860" s="41"/>
    </row>
    <row r="861">
      <c r="C861" s="35"/>
      <c r="E861" s="35"/>
      <c r="G861" s="35"/>
      <c r="I861" s="35"/>
      <c r="K861" s="35"/>
      <c r="L861" s="35"/>
      <c r="N861" s="41"/>
      <c r="O861" s="41"/>
      <c r="P861" s="41"/>
      <c r="Q861" s="41"/>
      <c r="R861" s="41"/>
    </row>
    <row r="862">
      <c r="C862" s="35"/>
      <c r="E862" s="35"/>
      <c r="G862" s="35"/>
      <c r="I862" s="35"/>
      <c r="K862" s="35"/>
      <c r="L862" s="35"/>
      <c r="N862" s="41"/>
      <c r="O862" s="41"/>
      <c r="P862" s="41"/>
      <c r="Q862" s="41"/>
      <c r="R862" s="41"/>
    </row>
    <row r="863">
      <c r="C863" s="35"/>
      <c r="E863" s="35"/>
      <c r="G863" s="35"/>
      <c r="I863" s="35"/>
      <c r="K863" s="35"/>
      <c r="L863" s="35"/>
      <c r="N863" s="41"/>
      <c r="O863" s="41"/>
      <c r="P863" s="41"/>
      <c r="Q863" s="41"/>
      <c r="R863" s="41"/>
    </row>
    <row r="864">
      <c r="C864" s="35"/>
      <c r="E864" s="35"/>
      <c r="G864" s="35"/>
      <c r="I864" s="35"/>
      <c r="K864" s="35"/>
      <c r="L864" s="35"/>
      <c r="N864" s="41"/>
      <c r="O864" s="41"/>
      <c r="P864" s="41"/>
      <c r="Q864" s="41"/>
      <c r="R864" s="41"/>
    </row>
    <row r="865">
      <c r="C865" s="35"/>
      <c r="E865" s="35"/>
      <c r="G865" s="35"/>
      <c r="I865" s="35"/>
      <c r="K865" s="35"/>
      <c r="L865" s="35"/>
      <c r="N865" s="41"/>
      <c r="O865" s="41"/>
      <c r="P865" s="41"/>
      <c r="Q865" s="41"/>
      <c r="R865" s="41"/>
    </row>
    <row r="866">
      <c r="C866" s="35"/>
      <c r="E866" s="35"/>
      <c r="G866" s="35"/>
      <c r="I866" s="35"/>
      <c r="K866" s="35"/>
      <c r="L866" s="35"/>
      <c r="N866" s="41"/>
      <c r="O866" s="41"/>
      <c r="P866" s="41"/>
      <c r="Q866" s="41"/>
      <c r="R866" s="41"/>
    </row>
    <row r="867">
      <c r="C867" s="35"/>
      <c r="E867" s="35"/>
      <c r="G867" s="35"/>
      <c r="I867" s="35"/>
      <c r="K867" s="35"/>
      <c r="L867" s="35"/>
      <c r="N867" s="41"/>
      <c r="O867" s="41"/>
      <c r="P867" s="41"/>
      <c r="Q867" s="41"/>
      <c r="R867" s="41"/>
    </row>
    <row r="868">
      <c r="C868" s="35"/>
      <c r="E868" s="35"/>
      <c r="G868" s="35"/>
      <c r="I868" s="35"/>
      <c r="K868" s="35"/>
      <c r="L868" s="35"/>
      <c r="N868" s="41"/>
      <c r="O868" s="41"/>
      <c r="P868" s="41"/>
      <c r="Q868" s="41"/>
      <c r="R868" s="41"/>
    </row>
    <row r="869">
      <c r="C869" s="35"/>
      <c r="E869" s="35"/>
      <c r="G869" s="35"/>
      <c r="I869" s="35"/>
      <c r="K869" s="35"/>
      <c r="L869" s="35"/>
      <c r="N869" s="41"/>
      <c r="O869" s="41"/>
      <c r="P869" s="41"/>
      <c r="Q869" s="41"/>
      <c r="R869" s="41"/>
    </row>
    <row r="870">
      <c r="C870" s="35"/>
      <c r="E870" s="35"/>
      <c r="G870" s="35"/>
      <c r="I870" s="35"/>
      <c r="K870" s="35"/>
      <c r="L870" s="35"/>
      <c r="N870" s="41"/>
      <c r="O870" s="41"/>
      <c r="P870" s="41"/>
      <c r="Q870" s="41"/>
      <c r="R870" s="41"/>
    </row>
    <row r="871">
      <c r="C871" s="35"/>
      <c r="E871" s="35"/>
      <c r="G871" s="35"/>
      <c r="I871" s="35"/>
      <c r="K871" s="35"/>
      <c r="L871" s="35"/>
      <c r="N871" s="41"/>
      <c r="O871" s="41"/>
      <c r="P871" s="41"/>
      <c r="Q871" s="41"/>
      <c r="R871" s="41"/>
    </row>
    <row r="872">
      <c r="C872" s="35"/>
      <c r="E872" s="35"/>
      <c r="G872" s="35"/>
      <c r="I872" s="35"/>
      <c r="K872" s="35"/>
      <c r="L872" s="35"/>
      <c r="N872" s="41"/>
      <c r="O872" s="41"/>
      <c r="P872" s="41"/>
      <c r="Q872" s="41"/>
      <c r="R872" s="41"/>
    </row>
    <row r="873">
      <c r="C873" s="35"/>
      <c r="E873" s="35"/>
      <c r="G873" s="35"/>
      <c r="I873" s="35"/>
      <c r="K873" s="35"/>
      <c r="L873" s="35"/>
      <c r="N873" s="41"/>
      <c r="O873" s="41"/>
      <c r="P873" s="41"/>
      <c r="Q873" s="41"/>
      <c r="R873" s="41"/>
    </row>
    <row r="874">
      <c r="C874" s="35"/>
      <c r="E874" s="35"/>
      <c r="G874" s="35"/>
      <c r="I874" s="35"/>
      <c r="K874" s="35"/>
      <c r="L874" s="35"/>
      <c r="N874" s="41"/>
      <c r="O874" s="41"/>
      <c r="P874" s="41"/>
      <c r="Q874" s="41"/>
      <c r="R874" s="41"/>
    </row>
    <row r="875">
      <c r="C875" s="35"/>
      <c r="E875" s="35"/>
      <c r="G875" s="35"/>
      <c r="I875" s="35"/>
      <c r="K875" s="35"/>
      <c r="L875" s="35"/>
      <c r="N875" s="41"/>
      <c r="O875" s="41"/>
      <c r="P875" s="41"/>
      <c r="Q875" s="41"/>
      <c r="R875" s="41"/>
    </row>
    <row r="876">
      <c r="C876" s="35"/>
      <c r="E876" s="35"/>
      <c r="G876" s="35"/>
      <c r="I876" s="35"/>
      <c r="K876" s="35"/>
      <c r="L876" s="35"/>
      <c r="N876" s="41"/>
      <c r="O876" s="41"/>
      <c r="P876" s="41"/>
      <c r="Q876" s="41"/>
      <c r="R876" s="41"/>
    </row>
    <row r="877">
      <c r="C877" s="35"/>
      <c r="E877" s="35"/>
      <c r="G877" s="35"/>
      <c r="I877" s="35"/>
      <c r="K877" s="35"/>
      <c r="L877" s="35"/>
      <c r="N877" s="41"/>
      <c r="O877" s="41"/>
      <c r="P877" s="41"/>
      <c r="Q877" s="41"/>
      <c r="R877" s="41"/>
    </row>
    <row r="878">
      <c r="C878" s="35"/>
      <c r="E878" s="35"/>
      <c r="G878" s="35"/>
      <c r="I878" s="35"/>
      <c r="K878" s="35"/>
      <c r="L878" s="35"/>
      <c r="N878" s="41"/>
      <c r="O878" s="41"/>
      <c r="P878" s="41"/>
      <c r="Q878" s="41"/>
      <c r="R878" s="41"/>
    </row>
    <row r="879">
      <c r="C879" s="35"/>
      <c r="E879" s="35"/>
      <c r="G879" s="35"/>
      <c r="I879" s="35"/>
      <c r="K879" s="35"/>
      <c r="L879" s="35"/>
      <c r="N879" s="41"/>
      <c r="O879" s="41"/>
      <c r="P879" s="41"/>
      <c r="Q879" s="41"/>
      <c r="R879" s="41"/>
    </row>
    <row r="880">
      <c r="C880" s="35"/>
      <c r="E880" s="35"/>
      <c r="G880" s="35"/>
      <c r="I880" s="35"/>
      <c r="K880" s="35"/>
      <c r="L880" s="35"/>
      <c r="N880" s="41"/>
      <c r="O880" s="41"/>
      <c r="P880" s="41"/>
      <c r="Q880" s="41"/>
      <c r="R880" s="41"/>
    </row>
    <row r="881">
      <c r="C881" s="35"/>
      <c r="E881" s="35"/>
      <c r="G881" s="35"/>
      <c r="I881" s="35"/>
      <c r="K881" s="35"/>
      <c r="L881" s="35"/>
      <c r="N881" s="41"/>
      <c r="O881" s="41"/>
      <c r="P881" s="41"/>
      <c r="Q881" s="41"/>
      <c r="R881" s="41"/>
    </row>
    <row r="882">
      <c r="C882" s="35"/>
      <c r="E882" s="35"/>
      <c r="G882" s="35"/>
      <c r="I882" s="35"/>
      <c r="K882" s="35"/>
      <c r="L882" s="35"/>
      <c r="N882" s="41"/>
      <c r="O882" s="41"/>
      <c r="P882" s="41"/>
      <c r="Q882" s="41"/>
      <c r="R882" s="41"/>
    </row>
    <row r="883">
      <c r="C883" s="35"/>
      <c r="E883" s="35"/>
      <c r="G883" s="35"/>
      <c r="I883" s="35"/>
      <c r="K883" s="35"/>
      <c r="L883" s="35"/>
      <c r="N883" s="41"/>
      <c r="O883" s="41"/>
      <c r="P883" s="41"/>
      <c r="Q883" s="41"/>
      <c r="R883" s="41"/>
    </row>
    <row r="884">
      <c r="C884" s="35"/>
      <c r="E884" s="35"/>
      <c r="G884" s="35"/>
      <c r="I884" s="35"/>
      <c r="K884" s="35"/>
      <c r="L884" s="35"/>
      <c r="N884" s="41"/>
      <c r="O884" s="41"/>
      <c r="P884" s="41"/>
      <c r="Q884" s="41"/>
      <c r="R884" s="41"/>
    </row>
    <row r="885">
      <c r="C885" s="35"/>
      <c r="E885" s="35"/>
      <c r="G885" s="35"/>
      <c r="I885" s="35"/>
      <c r="K885" s="35"/>
      <c r="L885" s="35"/>
      <c r="N885" s="41"/>
      <c r="O885" s="41"/>
      <c r="P885" s="41"/>
      <c r="Q885" s="41"/>
      <c r="R885" s="41"/>
    </row>
    <row r="886">
      <c r="C886" s="35"/>
      <c r="E886" s="35"/>
      <c r="G886" s="35"/>
      <c r="I886" s="35"/>
      <c r="K886" s="35"/>
      <c r="L886" s="35"/>
      <c r="N886" s="41"/>
      <c r="O886" s="41"/>
      <c r="P886" s="41"/>
      <c r="Q886" s="41"/>
      <c r="R886" s="41"/>
    </row>
    <row r="887">
      <c r="C887" s="35"/>
      <c r="E887" s="35"/>
      <c r="G887" s="35"/>
      <c r="I887" s="35"/>
      <c r="K887" s="35"/>
      <c r="L887" s="35"/>
      <c r="N887" s="41"/>
      <c r="O887" s="41"/>
      <c r="P887" s="41"/>
      <c r="Q887" s="41"/>
      <c r="R887" s="41"/>
    </row>
    <row r="888">
      <c r="C888" s="35"/>
      <c r="E888" s="35"/>
      <c r="G888" s="35"/>
      <c r="I888" s="35"/>
      <c r="K888" s="35"/>
      <c r="L888" s="35"/>
      <c r="N888" s="41"/>
      <c r="O888" s="41"/>
      <c r="P888" s="41"/>
      <c r="Q888" s="41"/>
      <c r="R888" s="41"/>
    </row>
    <row r="889">
      <c r="C889" s="35"/>
      <c r="E889" s="35"/>
      <c r="G889" s="35"/>
      <c r="I889" s="35"/>
      <c r="K889" s="35"/>
      <c r="L889" s="35"/>
      <c r="N889" s="41"/>
      <c r="O889" s="41"/>
      <c r="P889" s="41"/>
      <c r="Q889" s="41"/>
      <c r="R889" s="41"/>
    </row>
    <row r="890">
      <c r="C890" s="35"/>
      <c r="E890" s="35"/>
      <c r="G890" s="35"/>
      <c r="I890" s="35"/>
      <c r="K890" s="35"/>
      <c r="L890" s="35"/>
      <c r="N890" s="41"/>
      <c r="O890" s="41"/>
      <c r="P890" s="41"/>
      <c r="Q890" s="41"/>
      <c r="R890" s="41"/>
    </row>
    <row r="891">
      <c r="C891" s="35"/>
      <c r="E891" s="35"/>
      <c r="G891" s="35"/>
      <c r="I891" s="35"/>
      <c r="K891" s="35"/>
      <c r="L891" s="35"/>
      <c r="N891" s="41"/>
      <c r="O891" s="41"/>
      <c r="P891" s="41"/>
      <c r="Q891" s="41"/>
      <c r="R891" s="41"/>
    </row>
    <row r="892">
      <c r="C892" s="35"/>
      <c r="E892" s="35"/>
      <c r="G892" s="35"/>
      <c r="I892" s="35"/>
      <c r="K892" s="35"/>
      <c r="L892" s="35"/>
      <c r="N892" s="41"/>
      <c r="O892" s="41"/>
      <c r="P892" s="41"/>
      <c r="Q892" s="41"/>
      <c r="R892" s="41"/>
    </row>
    <row r="893">
      <c r="C893" s="35"/>
      <c r="E893" s="35"/>
      <c r="G893" s="35"/>
      <c r="I893" s="35"/>
      <c r="K893" s="35"/>
      <c r="L893" s="35"/>
      <c r="N893" s="41"/>
      <c r="O893" s="41"/>
      <c r="P893" s="41"/>
      <c r="Q893" s="41"/>
      <c r="R893" s="41"/>
    </row>
    <row r="894">
      <c r="C894" s="35"/>
      <c r="E894" s="35"/>
      <c r="G894" s="35"/>
      <c r="I894" s="35"/>
      <c r="K894" s="35"/>
      <c r="L894" s="35"/>
      <c r="N894" s="41"/>
      <c r="O894" s="41"/>
      <c r="P894" s="41"/>
      <c r="Q894" s="41"/>
      <c r="R894" s="41"/>
    </row>
    <row r="895">
      <c r="C895" s="35"/>
      <c r="E895" s="35"/>
      <c r="G895" s="35"/>
      <c r="I895" s="35"/>
      <c r="K895" s="35"/>
      <c r="L895" s="35"/>
      <c r="N895" s="41"/>
      <c r="O895" s="41"/>
      <c r="P895" s="41"/>
      <c r="Q895" s="41"/>
      <c r="R895" s="41"/>
    </row>
    <row r="896">
      <c r="C896" s="35"/>
      <c r="E896" s="35"/>
      <c r="G896" s="35"/>
      <c r="I896" s="35"/>
      <c r="K896" s="35"/>
      <c r="L896" s="35"/>
      <c r="N896" s="41"/>
      <c r="O896" s="41"/>
      <c r="P896" s="41"/>
      <c r="Q896" s="41"/>
      <c r="R896" s="41"/>
    </row>
    <row r="897">
      <c r="C897" s="35"/>
      <c r="E897" s="35"/>
      <c r="G897" s="35"/>
      <c r="I897" s="35"/>
      <c r="K897" s="35"/>
      <c r="L897" s="35"/>
      <c r="N897" s="41"/>
      <c r="O897" s="41"/>
      <c r="P897" s="41"/>
      <c r="Q897" s="41"/>
      <c r="R897" s="41"/>
    </row>
    <row r="898">
      <c r="C898" s="35"/>
      <c r="E898" s="35"/>
      <c r="G898" s="35"/>
      <c r="I898" s="35"/>
      <c r="K898" s="35"/>
      <c r="L898" s="35"/>
      <c r="N898" s="41"/>
      <c r="O898" s="41"/>
      <c r="P898" s="41"/>
      <c r="Q898" s="41"/>
      <c r="R898" s="41"/>
    </row>
    <row r="899">
      <c r="C899" s="35"/>
      <c r="E899" s="35"/>
      <c r="G899" s="35"/>
      <c r="I899" s="35"/>
      <c r="K899" s="35"/>
      <c r="L899" s="35"/>
      <c r="N899" s="41"/>
      <c r="O899" s="41"/>
      <c r="P899" s="41"/>
      <c r="Q899" s="41"/>
      <c r="R899" s="41"/>
    </row>
    <row r="900">
      <c r="C900" s="35"/>
      <c r="E900" s="35"/>
      <c r="G900" s="35"/>
      <c r="I900" s="35"/>
      <c r="K900" s="35"/>
      <c r="L900" s="35"/>
      <c r="N900" s="41"/>
      <c r="O900" s="41"/>
      <c r="P900" s="41"/>
      <c r="Q900" s="41"/>
      <c r="R900" s="41"/>
    </row>
    <row r="901">
      <c r="C901" s="35"/>
      <c r="E901" s="35"/>
      <c r="G901" s="35"/>
      <c r="I901" s="35"/>
      <c r="K901" s="35"/>
      <c r="L901" s="35"/>
      <c r="N901" s="41"/>
      <c r="O901" s="41"/>
      <c r="P901" s="41"/>
      <c r="Q901" s="41"/>
      <c r="R901" s="41"/>
    </row>
    <row r="902">
      <c r="C902" s="35"/>
      <c r="E902" s="35"/>
      <c r="G902" s="35"/>
      <c r="I902" s="35"/>
      <c r="K902" s="35"/>
      <c r="L902" s="35"/>
      <c r="N902" s="41"/>
      <c r="O902" s="41"/>
      <c r="P902" s="41"/>
      <c r="Q902" s="41"/>
      <c r="R902" s="41"/>
    </row>
    <row r="903">
      <c r="C903" s="35"/>
      <c r="E903" s="35"/>
      <c r="G903" s="35"/>
      <c r="I903" s="35"/>
      <c r="K903" s="35"/>
      <c r="L903" s="35"/>
      <c r="N903" s="41"/>
      <c r="O903" s="41"/>
      <c r="P903" s="41"/>
      <c r="Q903" s="41"/>
      <c r="R903" s="41"/>
    </row>
    <row r="904">
      <c r="C904" s="35"/>
      <c r="E904" s="35"/>
      <c r="G904" s="35"/>
      <c r="I904" s="35"/>
      <c r="K904" s="35"/>
      <c r="L904" s="35"/>
      <c r="N904" s="41"/>
      <c r="O904" s="41"/>
      <c r="P904" s="41"/>
      <c r="Q904" s="41"/>
      <c r="R904" s="41"/>
    </row>
    <row r="905">
      <c r="C905" s="35"/>
      <c r="E905" s="35"/>
      <c r="G905" s="35"/>
      <c r="I905" s="35"/>
      <c r="K905" s="35"/>
      <c r="L905" s="35"/>
      <c r="N905" s="41"/>
      <c r="O905" s="41"/>
      <c r="P905" s="41"/>
      <c r="Q905" s="41"/>
      <c r="R905" s="41"/>
    </row>
    <row r="906">
      <c r="C906" s="35"/>
      <c r="E906" s="35"/>
      <c r="G906" s="35"/>
      <c r="I906" s="35"/>
      <c r="K906" s="35"/>
      <c r="L906" s="35"/>
      <c r="N906" s="41"/>
      <c r="O906" s="41"/>
      <c r="P906" s="41"/>
      <c r="Q906" s="41"/>
      <c r="R906" s="41"/>
    </row>
    <row r="907">
      <c r="C907" s="35"/>
      <c r="E907" s="35"/>
      <c r="G907" s="35"/>
      <c r="I907" s="35"/>
      <c r="K907" s="35"/>
      <c r="L907" s="35"/>
      <c r="N907" s="41"/>
      <c r="O907" s="41"/>
      <c r="P907" s="41"/>
      <c r="Q907" s="41"/>
      <c r="R907" s="41"/>
    </row>
    <row r="908">
      <c r="C908" s="35"/>
      <c r="E908" s="35"/>
      <c r="G908" s="35"/>
      <c r="I908" s="35"/>
      <c r="K908" s="35"/>
      <c r="L908" s="35"/>
      <c r="N908" s="41"/>
      <c r="O908" s="41"/>
      <c r="P908" s="41"/>
      <c r="Q908" s="41"/>
      <c r="R908" s="41"/>
    </row>
    <row r="909">
      <c r="C909" s="35"/>
      <c r="E909" s="35"/>
      <c r="G909" s="35"/>
      <c r="I909" s="35"/>
      <c r="K909" s="35"/>
      <c r="L909" s="35"/>
      <c r="N909" s="41"/>
      <c r="O909" s="41"/>
      <c r="P909" s="41"/>
      <c r="Q909" s="41"/>
      <c r="R909" s="41"/>
    </row>
    <row r="910">
      <c r="C910" s="35"/>
      <c r="E910" s="35"/>
      <c r="G910" s="35"/>
      <c r="I910" s="35"/>
      <c r="K910" s="35"/>
      <c r="L910" s="35"/>
      <c r="N910" s="41"/>
      <c r="O910" s="41"/>
      <c r="P910" s="41"/>
      <c r="Q910" s="41"/>
      <c r="R910" s="41"/>
    </row>
    <row r="911">
      <c r="C911" s="35"/>
      <c r="E911" s="35"/>
      <c r="G911" s="35"/>
      <c r="I911" s="35"/>
      <c r="K911" s="35"/>
      <c r="L911" s="35"/>
      <c r="N911" s="41"/>
      <c r="O911" s="41"/>
      <c r="P911" s="41"/>
      <c r="Q911" s="41"/>
      <c r="R911" s="41"/>
    </row>
    <row r="912">
      <c r="C912" s="35"/>
      <c r="E912" s="35"/>
      <c r="G912" s="35"/>
      <c r="I912" s="35"/>
      <c r="K912" s="35"/>
      <c r="L912" s="35"/>
      <c r="N912" s="41"/>
      <c r="O912" s="41"/>
      <c r="P912" s="41"/>
      <c r="Q912" s="41"/>
      <c r="R912" s="41"/>
    </row>
    <row r="913">
      <c r="C913" s="35"/>
      <c r="E913" s="35"/>
      <c r="G913" s="35"/>
      <c r="I913" s="35"/>
      <c r="K913" s="35"/>
      <c r="L913" s="35"/>
      <c r="N913" s="41"/>
      <c r="O913" s="41"/>
      <c r="P913" s="41"/>
      <c r="Q913" s="41"/>
      <c r="R913" s="41"/>
    </row>
    <row r="914">
      <c r="C914" s="35"/>
      <c r="E914" s="35"/>
      <c r="G914" s="35"/>
      <c r="I914" s="35"/>
      <c r="K914" s="35"/>
      <c r="L914" s="35"/>
      <c r="N914" s="41"/>
      <c r="O914" s="41"/>
      <c r="P914" s="41"/>
      <c r="Q914" s="41"/>
      <c r="R914" s="41"/>
    </row>
    <row r="915">
      <c r="C915" s="35"/>
      <c r="E915" s="35"/>
      <c r="G915" s="35"/>
      <c r="I915" s="35"/>
      <c r="K915" s="35"/>
      <c r="L915" s="35"/>
      <c r="N915" s="41"/>
      <c r="O915" s="41"/>
      <c r="P915" s="41"/>
      <c r="Q915" s="41"/>
      <c r="R915" s="41"/>
    </row>
    <row r="916">
      <c r="C916" s="35"/>
      <c r="E916" s="35"/>
      <c r="G916" s="35"/>
      <c r="I916" s="35"/>
      <c r="K916" s="35"/>
      <c r="L916" s="35"/>
      <c r="N916" s="41"/>
      <c r="O916" s="41"/>
      <c r="P916" s="41"/>
      <c r="Q916" s="41"/>
      <c r="R916" s="41"/>
    </row>
    <row r="917">
      <c r="C917" s="35"/>
      <c r="E917" s="35"/>
      <c r="G917" s="35"/>
      <c r="I917" s="35"/>
      <c r="K917" s="35"/>
      <c r="L917" s="35"/>
      <c r="N917" s="41"/>
      <c r="O917" s="41"/>
      <c r="P917" s="41"/>
      <c r="Q917" s="41"/>
      <c r="R917" s="41"/>
    </row>
    <row r="918">
      <c r="C918" s="35"/>
      <c r="E918" s="35"/>
      <c r="G918" s="35"/>
      <c r="I918" s="35"/>
      <c r="K918" s="35"/>
      <c r="L918" s="35"/>
      <c r="N918" s="41"/>
      <c r="O918" s="41"/>
      <c r="P918" s="41"/>
      <c r="Q918" s="41"/>
      <c r="R918" s="41"/>
    </row>
    <row r="919">
      <c r="C919" s="35"/>
      <c r="E919" s="35"/>
      <c r="G919" s="35"/>
      <c r="I919" s="35"/>
      <c r="K919" s="35"/>
      <c r="L919" s="35"/>
      <c r="N919" s="41"/>
      <c r="O919" s="41"/>
      <c r="P919" s="41"/>
      <c r="Q919" s="41"/>
      <c r="R919" s="41"/>
    </row>
    <row r="920">
      <c r="C920" s="35"/>
      <c r="E920" s="35"/>
      <c r="G920" s="35"/>
      <c r="I920" s="35"/>
      <c r="K920" s="35"/>
      <c r="L920" s="35"/>
      <c r="N920" s="41"/>
      <c r="O920" s="41"/>
      <c r="P920" s="41"/>
      <c r="Q920" s="41"/>
      <c r="R920" s="41"/>
    </row>
    <row r="921">
      <c r="C921" s="35"/>
      <c r="E921" s="35"/>
      <c r="G921" s="35"/>
      <c r="I921" s="35"/>
      <c r="K921" s="35"/>
      <c r="L921" s="35"/>
      <c r="N921" s="41"/>
      <c r="O921" s="41"/>
      <c r="P921" s="41"/>
      <c r="Q921" s="41"/>
      <c r="R921" s="41"/>
    </row>
    <row r="922">
      <c r="C922" s="35"/>
      <c r="E922" s="35"/>
      <c r="G922" s="35"/>
      <c r="I922" s="35"/>
      <c r="K922" s="35"/>
      <c r="L922" s="35"/>
      <c r="N922" s="41"/>
      <c r="O922" s="41"/>
      <c r="P922" s="41"/>
      <c r="Q922" s="41"/>
      <c r="R922" s="41"/>
    </row>
    <row r="923">
      <c r="C923" s="35"/>
      <c r="E923" s="35"/>
      <c r="G923" s="35"/>
      <c r="I923" s="35"/>
      <c r="K923" s="35"/>
      <c r="L923" s="35"/>
      <c r="N923" s="41"/>
      <c r="O923" s="41"/>
      <c r="P923" s="41"/>
      <c r="Q923" s="41"/>
      <c r="R923" s="41"/>
    </row>
    <row r="924">
      <c r="C924" s="35"/>
      <c r="E924" s="35"/>
      <c r="G924" s="35"/>
      <c r="I924" s="35"/>
      <c r="K924" s="35"/>
      <c r="L924" s="35"/>
      <c r="N924" s="41"/>
      <c r="O924" s="41"/>
      <c r="P924" s="41"/>
      <c r="Q924" s="41"/>
      <c r="R924" s="41"/>
    </row>
    <row r="925">
      <c r="C925" s="35"/>
      <c r="E925" s="35"/>
      <c r="G925" s="35"/>
      <c r="I925" s="35"/>
      <c r="K925" s="35"/>
      <c r="L925" s="35"/>
      <c r="N925" s="41"/>
      <c r="O925" s="41"/>
      <c r="P925" s="41"/>
      <c r="Q925" s="41"/>
      <c r="R925" s="41"/>
    </row>
    <row r="926">
      <c r="C926" s="35"/>
      <c r="E926" s="35"/>
      <c r="G926" s="35"/>
      <c r="I926" s="35"/>
      <c r="K926" s="35"/>
      <c r="L926" s="35"/>
      <c r="N926" s="41"/>
      <c r="O926" s="41"/>
      <c r="P926" s="41"/>
      <c r="Q926" s="41"/>
      <c r="R926" s="41"/>
    </row>
    <row r="927">
      <c r="C927" s="35"/>
      <c r="E927" s="35"/>
      <c r="G927" s="35"/>
      <c r="I927" s="35"/>
      <c r="K927" s="35"/>
      <c r="L927" s="35"/>
      <c r="N927" s="41"/>
      <c r="O927" s="41"/>
      <c r="P927" s="41"/>
      <c r="Q927" s="41"/>
      <c r="R927" s="41"/>
    </row>
    <row r="928">
      <c r="C928" s="35"/>
      <c r="E928" s="35"/>
      <c r="G928" s="35"/>
      <c r="I928" s="35"/>
      <c r="K928" s="35"/>
      <c r="L928" s="35"/>
      <c r="N928" s="41"/>
      <c r="O928" s="41"/>
      <c r="P928" s="41"/>
      <c r="Q928" s="41"/>
      <c r="R928" s="41"/>
    </row>
    <row r="929">
      <c r="C929" s="35"/>
      <c r="E929" s="35"/>
      <c r="G929" s="35"/>
      <c r="I929" s="35"/>
      <c r="K929" s="35"/>
      <c r="L929" s="35"/>
      <c r="N929" s="41"/>
      <c r="O929" s="41"/>
      <c r="P929" s="41"/>
      <c r="Q929" s="41"/>
      <c r="R929" s="41"/>
    </row>
    <row r="930">
      <c r="C930" s="35"/>
      <c r="E930" s="35"/>
      <c r="G930" s="35"/>
      <c r="I930" s="35"/>
      <c r="K930" s="35"/>
      <c r="L930" s="35"/>
      <c r="N930" s="41"/>
      <c r="O930" s="41"/>
      <c r="P930" s="41"/>
      <c r="Q930" s="41"/>
      <c r="R930" s="41"/>
    </row>
    <row r="931">
      <c r="C931" s="35"/>
      <c r="E931" s="35"/>
      <c r="G931" s="35"/>
      <c r="I931" s="35"/>
      <c r="K931" s="35"/>
      <c r="L931" s="35"/>
      <c r="N931" s="41"/>
      <c r="O931" s="41"/>
      <c r="P931" s="41"/>
      <c r="Q931" s="41"/>
      <c r="R931" s="41"/>
    </row>
    <row r="932">
      <c r="C932" s="35"/>
      <c r="E932" s="35"/>
      <c r="G932" s="35"/>
      <c r="I932" s="35"/>
      <c r="K932" s="35"/>
      <c r="L932" s="35"/>
      <c r="N932" s="41"/>
      <c r="O932" s="41"/>
      <c r="P932" s="41"/>
      <c r="Q932" s="41"/>
      <c r="R932" s="41"/>
    </row>
    <row r="933">
      <c r="C933" s="35"/>
      <c r="E933" s="35"/>
      <c r="G933" s="35"/>
      <c r="I933" s="35"/>
      <c r="K933" s="35"/>
      <c r="L933" s="35"/>
      <c r="N933" s="41"/>
      <c r="O933" s="41"/>
      <c r="P933" s="41"/>
      <c r="Q933" s="41"/>
      <c r="R933" s="41"/>
    </row>
    <row r="934">
      <c r="C934" s="35"/>
      <c r="E934" s="35"/>
      <c r="G934" s="35"/>
      <c r="I934" s="35"/>
      <c r="K934" s="35"/>
      <c r="L934" s="35"/>
      <c r="N934" s="41"/>
      <c r="O934" s="41"/>
      <c r="P934" s="41"/>
      <c r="Q934" s="41"/>
      <c r="R934" s="41"/>
    </row>
    <row r="935">
      <c r="C935" s="35"/>
      <c r="E935" s="35"/>
      <c r="G935" s="35"/>
      <c r="I935" s="35"/>
      <c r="K935" s="35"/>
      <c r="L935" s="35"/>
      <c r="N935" s="41"/>
      <c r="O935" s="41"/>
      <c r="P935" s="41"/>
      <c r="Q935" s="41"/>
      <c r="R935" s="41"/>
    </row>
    <row r="936">
      <c r="C936" s="35"/>
      <c r="E936" s="35"/>
      <c r="G936" s="35"/>
      <c r="I936" s="35"/>
      <c r="K936" s="35"/>
      <c r="L936" s="35"/>
      <c r="N936" s="41"/>
      <c r="O936" s="41"/>
      <c r="P936" s="41"/>
      <c r="Q936" s="41"/>
      <c r="R936" s="41"/>
    </row>
    <row r="937">
      <c r="C937" s="35"/>
      <c r="E937" s="35"/>
      <c r="G937" s="35"/>
      <c r="I937" s="35"/>
      <c r="K937" s="35"/>
      <c r="L937" s="35"/>
      <c r="N937" s="41"/>
      <c r="O937" s="41"/>
      <c r="P937" s="41"/>
      <c r="Q937" s="41"/>
      <c r="R937" s="41"/>
    </row>
    <row r="938">
      <c r="C938" s="35"/>
      <c r="E938" s="35"/>
      <c r="G938" s="35"/>
      <c r="I938" s="35"/>
      <c r="K938" s="35"/>
      <c r="L938" s="35"/>
      <c r="N938" s="41"/>
      <c r="O938" s="41"/>
      <c r="P938" s="41"/>
      <c r="Q938" s="41"/>
      <c r="R938" s="41"/>
    </row>
    <row r="939">
      <c r="C939" s="35"/>
      <c r="E939" s="35"/>
      <c r="G939" s="35"/>
      <c r="I939" s="35"/>
      <c r="K939" s="35"/>
      <c r="L939" s="35"/>
      <c r="N939" s="41"/>
      <c r="O939" s="41"/>
      <c r="P939" s="41"/>
      <c r="Q939" s="41"/>
      <c r="R939" s="41"/>
    </row>
    <row r="940">
      <c r="C940" s="35"/>
      <c r="E940" s="35"/>
      <c r="G940" s="35"/>
      <c r="I940" s="35"/>
      <c r="K940" s="35"/>
      <c r="L940" s="35"/>
      <c r="N940" s="41"/>
      <c r="O940" s="41"/>
      <c r="P940" s="41"/>
      <c r="Q940" s="41"/>
      <c r="R940" s="41"/>
    </row>
    <row r="941">
      <c r="C941" s="35"/>
      <c r="E941" s="35"/>
      <c r="G941" s="35"/>
      <c r="I941" s="35"/>
      <c r="K941" s="35"/>
      <c r="L941" s="35"/>
      <c r="N941" s="41"/>
      <c r="O941" s="41"/>
      <c r="P941" s="41"/>
      <c r="Q941" s="41"/>
      <c r="R941" s="41"/>
    </row>
    <row r="942">
      <c r="C942" s="35"/>
      <c r="E942" s="35"/>
      <c r="G942" s="35"/>
      <c r="I942" s="35"/>
      <c r="K942" s="35"/>
      <c r="L942" s="35"/>
      <c r="N942" s="41"/>
      <c r="O942" s="41"/>
      <c r="P942" s="41"/>
      <c r="Q942" s="41"/>
      <c r="R942" s="41"/>
    </row>
    <row r="943">
      <c r="C943" s="35"/>
      <c r="E943" s="35"/>
      <c r="G943" s="35"/>
      <c r="I943" s="35"/>
      <c r="K943" s="35"/>
      <c r="L943" s="35"/>
      <c r="N943" s="41"/>
      <c r="O943" s="41"/>
      <c r="P943" s="41"/>
      <c r="Q943" s="41"/>
      <c r="R943" s="41"/>
    </row>
    <row r="944">
      <c r="C944" s="35"/>
      <c r="E944" s="35"/>
      <c r="G944" s="35"/>
      <c r="I944" s="35"/>
      <c r="K944" s="35"/>
      <c r="L944" s="35"/>
      <c r="N944" s="41"/>
      <c r="O944" s="41"/>
      <c r="P944" s="41"/>
      <c r="Q944" s="41"/>
      <c r="R944" s="41"/>
    </row>
    <row r="945">
      <c r="C945" s="35"/>
      <c r="E945" s="35"/>
      <c r="G945" s="35"/>
      <c r="I945" s="35"/>
      <c r="K945" s="35"/>
      <c r="L945" s="35"/>
      <c r="N945" s="41"/>
      <c r="O945" s="41"/>
      <c r="P945" s="41"/>
      <c r="Q945" s="41"/>
      <c r="R945" s="41"/>
    </row>
    <row r="946">
      <c r="C946" s="35"/>
      <c r="E946" s="35"/>
      <c r="G946" s="35"/>
      <c r="I946" s="35"/>
      <c r="K946" s="35"/>
      <c r="L946" s="35"/>
      <c r="N946" s="41"/>
      <c r="O946" s="41"/>
      <c r="P946" s="41"/>
      <c r="Q946" s="41"/>
      <c r="R946" s="41"/>
    </row>
    <row r="947">
      <c r="C947" s="35"/>
      <c r="E947" s="35"/>
      <c r="G947" s="35"/>
      <c r="I947" s="35"/>
      <c r="K947" s="35"/>
      <c r="L947" s="35"/>
      <c r="N947" s="41"/>
      <c r="O947" s="41"/>
      <c r="P947" s="41"/>
      <c r="Q947" s="41"/>
      <c r="R947" s="41"/>
    </row>
    <row r="948">
      <c r="C948" s="35"/>
      <c r="E948" s="35"/>
      <c r="G948" s="35"/>
      <c r="I948" s="35"/>
      <c r="K948" s="35"/>
      <c r="L948" s="35"/>
      <c r="N948" s="41"/>
      <c r="O948" s="41"/>
      <c r="P948" s="41"/>
      <c r="Q948" s="41"/>
      <c r="R948" s="41"/>
    </row>
    <row r="949">
      <c r="C949" s="35"/>
      <c r="E949" s="35"/>
      <c r="G949" s="35"/>
      <c r="I949" s="35"/>
      <c r="K949" s="35"/>
      <c r="L949" s="35"/>
      <c r="N949" s="41"/>
      <c r="O949" s="41"/>
      <c r="P949" s="41"/>
      <c r="Q949" s="41"/>
      <c r="R949" s="41"/>
    </row>
    <row r="950">
      <c r="C950" s="35"/>
      <c r="E950" s="35"/>
      <c r="G950" s="35"/>
      <c r="I950" s="35"/>
      <c r="K950" s="35"/>
      <c r="L950" s="35"/>
      <c r="N950" s="41"/>
      <c r="O950" s="41"/>
      <c r="P950" s="41"/>
      <c r="Q950" s="41"/>
      <c r="R950" s="41"/>
    </row>
    <row r="951">
      <c r="C951" s="35"/>
      <c r="E951" s="35"/>
      <c r="G951" s="35"/>
      <c r="I951" s="35"/>
      <c r="K951" s="35"/>
      <c r="L951" s="35"/>
      <c r="N951" s="41"/>
      <c r="O951" s="41"/>
      <c r="P951" s="41"/>
      <c r="Q951" s="41"/>
      <c r="R951" s="41"/>
    </row>
    <row r="952">
      <c r="C952" s="35"/>
      <c r="E952" s="35"/>
      <c r="G952" s="35"/>
      <c r="I952" s="35"/>
      <c r="K952" s="35"/>
      <c r="L952" s="35"/>
      <c r="N952" s="41"/>
      <c r="O952" s="41"/>
      <c r="P952" s="41"/>
      <c r="Q952" s="41"/>
      <c r="R952" s="41"/>
    </row>
    <row r="953">
      <c r="C953" s="35"/>
      <c r="E953" s="35"/>
      <c r="G953" s="35"/>
      <c r="I953" s="35"/>
      <c r="K953" s="35"/>
      <c r="L953" s="35"/>
      <c r="N953" s="41"/>
      <c r="O953" s="41"/>
      <c r="P953" s="41"/>
      <c r="Q953" s="41"/>
      <c r="R953" s="41"/>
    </row>
    <row r="954">
      <c r="C954" s="35"/>
      <c r="E954" s="35"/>
      <c r="G954" s="35"/>
      <c r="I954" s="35"/>
      <c r="K954" s="35"/>
      <c r="L954" s="35"/>
      <c r="N954" s="41"/>
      <c r="O954" s="41"/>
      <c r="P954" s="41"/>
      <c r="Q954" s="41"/>
      <c r="R954" s="41"/>
    </row>
    <row r="955">
      <c r="C955" s="35"/>
      <c r="E955" s="35"/>
      <c r="G955" s="35"/>
      <c r="I955" s="35"/>
      <c r="K955" s="35"/>
      <c r="L955" s="35"/>
      <c r="N955" s="41"/>
      <c r="O955" s="41"/>
      <c r="P955" s="41"/>
      <c r="Q955" s="41"/>
      <c r="R955" s="41"/>
    </row>
    <row r="956">
      <c r="C956" s="35"/>
      <c r="E956" s="35"/>
      <c r="G956" s="35"/>
      <c r="I956" s="35"/>
      <c r="K956" s="35"/>
      <c r="L956" s="35"/>
      <c r="N956" s="41"/>
      <c r="O956" s="41"/>
      <c r="P956" s="41"/>
      <c r="Q956" s="41"/>
      <c r="R956" s="41"/>
    </row>
    <row r="957">
      <c r="C957" s="35"/>
      <c r="E957" s="35"/>
      <c r="G957" s="35"/>
      <c r="I957" s="35"/>
      <c r="K957" s="35"/>
      <c r="L957" s="35"/>
      <c r="N957" s="41"/>
      <c r="O957" s="41"/>
      <c r="P957" s="41"/>
      <c r="Q957" s="41"/>
      <c r="R957" s="41"/>
    </row>
    <row r="958">
      <c r="C958" s="35"/>
      <c r="E958" s="35"/>
      <c r="G958" s="35"/>
      <c r="I958" s="35"/>
      <c r="K958" s="35"/>
      <c r="L958" s="35"/>
      <c r="N958" s="41"/>
      <c r="O958" s="41"/>
      <c r="P958" s="41"/>
      <c r="Q958" s="41"/>
      <c r="R958" s="41"/>
    </row>
    <row r="959">
      <c r="C959" s="35"/>
      <c r="E959" s="35"/>
      <c r="G959" s="35"/>
      <c r="I959" s="35"/>
      <c r="K959" s="35"/>
      <c r="L959" s="35"/>
      <c r="N959" s="41"/>
      <c r="O959" s="41"/>
      <c r="P959" s="41"/>
      <c r="Q959" s="41"/>
      <c r="R959" s="41"/>
    </row>
    <row r="960">
      <c r="C960" s="35"/>
      <c r="E960" s="35"/>
      <c r="G960" s="35"/>
      <c r="I960" s="35"/>
      <c r="K960" s="35"/>
      <c r="L960" s="35"/>
      <c r="N960" s="41"/>
      <c r="O960" s="41"/>
      <c r="P960" s="41"/>
      <c r="Q960" s="41"/>
      <c r="R960" s="41"/>
    </row>
    <row r="961">
      <c r="C961" s="35"/>
      <c r="E961" s="35"/>
      <c r="G961" s="35"/>
      <c r="I961" s="35"/>
      <c r="K961" s="35"/>
      <c r="L961" s="35"/>
      <c r="N961" s="41"/>
      <c r="O961" s="41"/>
      <c r="P961" s="41"/>
      <c r="Q961" s="41"/>
      <c r="R961" s="41"/>
    </row>
    <row r="962">
      <c r="C962" s="35"/>
      <c r="E962" s="35"/>
      <c r="G962" s="35"/>
      <c r="I962" s="35"/>
      <c r="K962" s="35"/>
      <c r="L962" s="35"/>
      <c r="N962" s="41"/>
      <c r="O962" s="41"/>
      <c r="P962" s="41"/>
      <c r="Q962" s="41"/>
      <c r="R962" s="41"/>
    </row>
    <row r="963">
      <c r="C963" s="35"/>
      <c r="E963" s="35"/>
      <c r="G963" s="35"/>
      <c r="I963" s="35"/>
      <c r="K963" s="35"/>
      <c r="L963" s="35"/>
      <c r="N963" s="41"/>
      <c r="O963" s="41"/>
      <c r="P963" s="41"/>
      <c r="Q963" s="41"/>
      <c r="R963" s="41"/>
    </row>
    <row r="964">
      <c r="C964" s="35"/>
      <c r="E964" s="35"/>
      <c r="G964" s="35"/>
      <c r="I964" s="35"/>
      <c r="K964" s="35"/>
      <c r="L964" s="35"/>
      <c r="N964" s="41"/>
      <c r="O964" s="41"/>
      <c r="P964" s="41"/>
      <c r="Q964" s="41"/>
      <c r="R964" s="41"/>
    </row>
    <row r="965">
      <c r="C965" s="35"/>
      <c r="E965" s="35"/>
      <c r="G965" s="35"/>
      <c r="I965" s="35"/>
      <c r="K965" s="35"/>
      <c r="L965" s="35"/>
      <c r="N965" s="41"/>
      <c r="O965" s="41"/>
      <c r="P965" s="41"/>
      <c r="Q965" s="41"/>
      <c r="R965" s="41"/>
    </row>
    <row r="966">
      <c r="C966" s="35"/>
      <c r="E966" s="35"/>
      <c r="G966" s="35"/>
      <c r="I966" s="35"/>
      <c r="K966" s="35"/>
      <c r="L966" s="35"/>
      <c r="N966" s="41"/>
      <c r="O966" s="41"/>
      <c r="P966" s="41"/>
      <c r="Q966" s="41"/>
      <c r="R966" s="41"/>
    </row>
    <row r="967">
      <c r="C967" s="35"/>
      <c r="E967" s="35"/>
      <c r="G967" s="35"/>
      <c r="I967" s="35"/>
      <c r="K967" s="35"/>
      <c r="L967" s="35"/>
      <c r="N967" s="41"/>
      <c r="O967" s="41"/>
      <c r="P967" s="41"/>
      <c r="Q967" s="41"/>
      <c r="R967" s="41"/>
    </row>
    <row r="968">
      <c r="C968" s="35"/>
      <c r="E968" s="35"/>
      <c r="G968" s="35"/>
      <c r="I968" s="35"/>
      <c r="K968" s="35"/>
      <c r="L968" s="35"/>
      <c r="N968" s="41"/>
      <c r="O968" s="41"/>
      <c r="P968" s="41"/>
      <c r="Q968" s="41"/>
      <c r="R968" s="41"/>
    </row>
    <row r="969">
      <c r="C969" s="35"/>
      <c r="E969" s="35"/>
      <c r="G969" s="35"/>
      <c r="I969" s="35"/>
      <c r="K969" s="35"/>
      <c r="L969" s="35"/>
      <c r="N969" s="41"/>
      <c r="O969" s="41"/>
      <c r="P969" s="41"/>
      <c r="Q969" s="41"/>
      <c r="R969" s="41"/>
    </row>
    <row r="970">
      <c r="C970" s="35"/>
      <c r="E970" s="35"/>
      <c r="G970" s="35"/>
      <c r="I970" s="35"/>
      <c r="K970" s="35"/>
      <c r="L970" s="35"/>
      <c r="N970" s="41"/>
      <c r="O970" s="41"/>
      <c r="P970" s="41"/>
      <c r="Q970" s="41"/>
      <c r="R970" s="41"/>
    </row>
    <row r="971">
      <c r="C971" s="35"/>
      <c r="E971" s="35"/>
      <c r="G971" s="35"/>
      <c r="I971" s="35"/>
      <c r="K971" s="35"/>
      <c r="L971" s="35"/>
      <c r="N971" s="41"/>
      <c r="O971" s="41"/>
      <c r="P971" s="41"/>
      <c r="Q971" s="41"/>
      <c r="R971" s="41"/>
    </row>
    <row r="972">
      <c r="C972" s="35"/>
      <c r="E972" s="35"/>
      <c r="G972" s="35"/>
      <c r="I972" s="35"/>
      <c r="K972" s="35"/>
      <c r="L972" s="35"/>
      <c r="N972" s="41"/>
      <c r="O972" s="41"/>
      <c r="P972" s="41"/>
      <c r="Q972" s="41"/>
      <c r="R972" s="41"/>
    </row>
    <row r="973">
      <c r="C973" s="35"/>
      <c r="E973" s="35"/>
      <c r="G973" s="35"/>
      <c r="I973" s="35"/>
      <c r="K973" s="35"/>
      <c r="L973" s="35"/>
      <c r="N973" s="41"/>
      <c r="O973" s="41"/>
      <c r="P973" s="41"/>
      <c r="Q973" s="41"/>
      <c r="R973" s="41"/>
    </row>
    <row r="974">
      <c r="C974" s="35"/>
      <c r="E974" s="35"/>
      <c r="G974" s="35"/>
      <c r="I974" s="35"/>
      <c r="K974" s="35"/>
      <c r="L974" s="35"/>
      <c r="N974" s="41"/>
      <c r="O974" s="41"/>
      <c r="P974" s="41"/>
      <c r="Q974" s="41"/>
      <c r="R974" s="41"/>
    </row>
    <row r="975">
      <c r="C975" s="35"/>
      <c r="E975" s="35"/>
      <c r="G975" s="35"/>
      <c r="I975" s="35"/>
      <c r="K975" s="35"/>
      <c r="L975" s="35"/>
      <c r="N975" s="41"/>
      <c r="O975" s="41"/>
      <c r="P975" s="41"/>
      <c r="Q975" s="41"/>
      <c r="R975" s="41"/>
    </row>
    <row r="976">
      <c r="C976" s="35"/>
      <c r="E976" s="35"/>
      <c r="G976" s="35"/>
      <c r="I976" s="35"/>
      <c r="K976" s="35"/>
      <c r="L976" s="35"/>
      <c r="N976" s="41"/>
      <c r="O976" s="41"/>
      <c r="P976" s="41"/>
      <c r="Q976" s="41"/>
      <c r="R976" s="41"/>
    </row>
    <row r="977">
      <c r="C977" s="35"/>
      <c r="E977" s="35"/>
      <c r="G977" s="35"/>
      <c r="I977" s="35"/>
      <c r="K977" s="35"/>
      <c r="L977" s="35"/>
      <c r="N977" s="41"/>
      <c r="O977" s="41"/>
      <c r="P977" s="41"/>
      <c r="Q977" s="41"/>
      <c r="R977" s="41"/>
    </row>
  </sheetData>
  <mergeCells count="6">
    <mergeCell ref="A1:L1"/>
    <mergeCell ref="B3:L3"/>
    <mergeCell ref="N3:R3"/>
    <mergeCell ref="T3:U3"/>
    <mergeCell ref="W3:Y3"/>
    <mergeCell ref="Z3:AD3"/>
  </mergeCells>
  <conditionalFormatting sqref="M5:M107">
    <cfRule type="cellIs" dxfId="0" priority="1" operator="equal">
      <formula>1</formula>
    </cfRule>
  </conditionalFormatting>
  <conditionalFormatting sqref="M5:M107">
    <cfRule type="cellIs" dxfId="1" priority="2" operator="notEqual">
      <formula>1</formula>
    </cfRule>
  </conditionalFormatting>
  <conditionalFormatting sqref="S5:S107">
    <cfRule type="cellIs" dxfId="0" priority="3" operator="equal">
      <formula>100</formula>
    </cfRule>
  </conditionalFormatting>
  <conditionalFormatting sqref="S5:S107">
    <cfRule type="cellIs" dxfId="1" priority="4" operator="notEqual">
      <formula>100</formula>
    </cfRule>
  </conditionalFormatting>
  <hyperlinks>
    <hyperlink r:id="rId1" ref="A110"/>
    <hyperlink r:id="rId2" ref="A111"/>
    <hyperlink r:id="rId3" ref="A11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4" max="6" width="13.88"/>
    <col customWidth="1" min="7" max="7" width="14.75"/>
    <col customWidth="1" min="8" max="8" width="14.63"/>
    <col customWidth="1" min="9" max="16" width="14.75"/>
    <col customWidth="1" min="17" max="17" width="15.75"/>
  </cols>
  <sheetData>
    <row r="1">
      <c r="A1" s="64"/>
      <c r="B1" s="7" t="s">
        <v>148</v>
      </c>
      <c r="C1" s="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3" t="s">
        <v>9</v>
      </c>
      <c r="B2" s="14" t="s">
        <v>10</v>
      </c>
      <c r="C2" s="17" t="s">
        <v>11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>
      <c r="A3" s="65" t="s">
        <v>149</v>
      </c>
      <c r="C3" s="66"/>
      <c r="D3" s="4" t="s">
        <v>1</v>
      </c>
      <c r="E3" s="5" t="s">
        <v>2</v>
      </c>
      <c r="F3" s="6" t="s">
        <v>3</v>
      </c>
    </row>
    <row r="4">
      <c r="A4" s="65" t="s">
        <v>150</v>
      </c>
      <c r="C4" s="66"/>
    </row>
    <row r="5">
      <c r="A5" s="65" t="s">
        <v>151</v>
      </c>
      <c r="C5" s="66"/>
    </row>
    <row r="6">
      <c r="A6" s="65" t="s">
        <v>152</v>
      </c>
      <c r="C6" s="66"/>
    </row>
    <row r="7">
      <c r="A7" s="65" t="s">
        <v>153</v>
      </c>
      <c r="C7" s="66"/>
    </row>
    <row r="8">
      <c r="A8" s="67"/>
      <c r="C8" s="66"/>
    </row>
    <row r="9">
      <c r="A9" s="67"/>
      <c r="C9" s="66"/>
    </row>
    <row r="10">
      <c r="A10" s="67"/>
      <c r="C10" s="66"/>
    </row>
    <row r="11">
      <c r="A11" s="67"/>
      <c r="C11" s="66"/>
    </row>
    <row r="12">
      <c r="A12" s="67"/>
      <c r="C12" s="66"/>
    </row>
    <row r="13">
      <c r="A13" s="68" t="s">
        <v>154</v>
      </c>
      <c r="B13" s="28">
        <v>5.0</v>
      </c>
      <c r="C13" s="57">
        <v>0.75</v>
      </c>
    </row>
    <row r="14">
      <c r="A14" s="69"/>
      <c r="C14" s="66"/>
    </row>
    <row r="15">
      <c r="A15" s="69"/>
      <c r="C15" s="66"/>
    </row>
    <row r="16">
      <c r="A16" s="69"/>
      <c r="C16" s="66"/>
    </row>
    <row r="17">
      <c r="A17" s="69"/>
      <c r="C17" s="66"/>
    </row>
    <row r="18">
      <c r="A18" s="69"/>
      <c r="C18" s="66"/>
    </row>
    <row r="19">
      <c r="A19" s="69"/>
      <c r="C19" s="66"/>
    </row>
    <row r="20">
      <c r="A20" s="69"/>
      <c r="C20" s="66"/>
    </row>
    <row r="21">
      <c r="A21" s="70"/>
      <c r="C21" s="66"/>
    </row>
    <row r="22">
      <c r="A22" s="70"/>
      <c r="C22" s="66"/>
    </row>
    <row r="23">
      <c r="A23" s="70"/>
      <c r="C23" s="66"/>
    </row>
    <row r="24">
      <c r="A24" s="71"/>
      <c r="C24" s="66"/>
    </row>
    <row r="25">
      <c r="A25" s="28" t="s">
        <v>143</v>
      </c>
    </row>
    <row r="26">
      <c r="A26" s="72" t="s">
        <v>144</v>
      </c>
    </row>
    <row r="27">
      <c r="A27" s="72" t="s">
        <v>145</v>
      </c>
    </row>
  </sheetData>
  <mergeCells count="1">
    <mergeCell ref="B1:C1"/>
  </mergeCells>
  <hyperlinks>
    <hyperlink r:id="rId1" ref="A26"/>
    <hyperlink r:id="rId2" ref="A2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DATA'!B4</f>
        <v># HWs</v>
      </c>
      <c r="B1" s="35" t="str">
        <f>'FOUND DATA'!C4</f>
        <v>HW Weight</v>
      </c>
      <c r="C1" s="36" t="str">
        <f>'FOUND DATA'!D4</f>
        <v># Project Assignments</v>
      </c>
      <c r="D1" s="35" t="str">
        <f>'FOUND DATA'!E4</f>
        <v>Project Weight</v>
      </c>
      <c r="E1" s="36" t="str">
        <f>'FOUND DATA'!F4</f>
        <v># Final exam</v>
      </c>
      <c r="F1" s="35" t="str">
        <f>'FOUND DATA'!G4</f>
        <v>Final Weight</v>
      </c>
      <c r="G1" s="36" t="str">
        <f>'FOUND DATA'!H4</f>
        <v># Other Exams</v>
      </c>
      <c r="H1" s="35" t="str">
        <f>'FOUND DATA'!I4</f>
        <v>Exam Weight</v>
      </c>
      <c r="I1" s="36" t="str">
        <f>'FOUND DATA'!J4</f>
        <v># Quizzes</v>
      </c>
      <c r="J1" s="35" t="str">
        <f>'FOUND DATA'!K4</f>
        <v>Quiz Weight</v>
      </c>
      <c r="K1" s="35" t="str">
        <f>'FOUND DATA'!L4</f>
        <v>Attend/Misc Weight</v>
      </c>
    </row>
    <row r="2">
      <c r="A2" s="36">
        <f>'FOUND DATA'!B5</f>
        <v>5</v>
      </c>
      <c r="B2" s="35">
        <f>'FOUND DATA'!C5</f>
        <v>0.2</v>
      </c>
      <c r="C2" s="36">
        <f>'FOUND DATA'!D5</f>
        <v>10</v>
      </c>
      <c r="D2" s="35">
        <f>'FOUND DATA'!E5</f>
        <v>0.6</v>
      </c>
      <c r="E2" s="36">
        <f>'FOUND DATA'!F5</f>
        <v>0</v>
      </c>
      <c r="F2" s="35">
        <f>'FOUND DATA'!G5</f>
        <v>0</v>
      </c>
      <c r="G2" s="36">
        <f>'FOUND DATA'!H5</f>
        <v>0</v>
      </c>
      <c r="H2" s="35">
        <f>'FOUND DATA'!I5</f>
        <v>0</v>
      </c>
      <c r="I2" s="36">
        <f>'FOUND DATA'!J5</f>
        <v>30</v>
      </c>
      <c r="J2" s="35">
        <f>'FOUND DATA'!K5</f>
        <v>0.2</v>
      </c>
      <c r="K2" s="35">
        <f>'FOUND DATA'!L5</f>
        <v>0</v>
      </c>
    </row>
    <row r="3">
      <c r="A3" s="36">
        <f>'FOUND DATA'!B6</f>
        <v>8</v>
      </c>
      <c r="B3" s="35">
        <f>'FOUND DATA'!C6</f>
        <v>0.32</v>
      </c>
      <c r="C3" s="36">
        <f>'FOUND DATA'!D6</f>
        <v>4</v>
      </c>
      <c r="D3" s="35">
        <f>'FOUND DATA'!E6</f>
        <v>0.16</v>
      </c>
      <c r="E3" s="36">
        <f>'FOUND DATA'!F6</f>
        <v>1</v>
      </c>
      <c r="F3" s="35">
        <f>'FOUND DATA'!G6</f>
        <v>0.2</v>
      </c>
      <c r="G3" s="36">
        <f>'FOUND DATA'!H6</f>
        <v>0</v>
      </c>
      <c r="H3" s="35">
        <f>'FOUND DATA'!I6</f>
        <v>0</v>
      </c>
      <c r="I3" s="36">
        <f>'FOUND DATA'!J6</f>
        <v>4</v>
      </c>
      <c r="J3" s="35">
        <f>'FOUND DATA'!K6</f>
        <v>0.32</v>
      </c>
      <c r="K3" s="35">
        <f>'FOUND DATA'!L6</f>
        <v>0</v>
      </c>
    </row>
    <row r="4">
      <c r="A4" s="36">
        <f>'FOUND DATA'!B7</f>
        <v>8</v>
      </c>
      <c r="B4" s="35">
        <f>'FOUND DATA'!C7</f>
        <v>0.32</v>
      </c>
      <c r="C4" s="36">
        <f>'FOUND DATA'!D7</f>
        <v>4</v>
      </c>
      <c r="D4" s="35">
        <f>'FOUND DATA'!E7</f>
        <v>0.16</v>
      </c>
      <c r="E4" s="36">
        <f>'FOUND DATA'!F7</f>
        <v>1</v>
      </c>
      <c r="F4" s="35">
        <f>'FOUND DATA'!G7</f>
        <v>0.2</v>
      </c>
      <c r="G4" s="36">
        <f>'FOUND DATA'!H7</f>
        <v>0</v>
      </c>
      <c r="H4" s="35">
        <f>'FOUND DATA'!I7</f>
        <v>0</v>
      </c>
      <c r="I4" s="36">
        <f>'FOUND DATA'!J7</f>
        <v>4</v>
      </c>
      <c r="J4" s="35">
        <f>'FOUND DATA'!K7</f>
        <v>0.32</v>
      </c>
      <c r="K4" s="35">
        <f>'FOUND DATA'!L7</f>
        <v>0</v>
      </c>
    </row>
    <row r="5">
      <c r="A5" s="36">
        <f>'FOUND DATA'!B8</f>
        <v>8</v>
      </c>
      <c r="B5" s="35">
        <f>'FOUND DATA'!C8</f>
        <v>0.3</v>
      </c>
      <c r="C5" s="36">
        <f>'FOUND DATA'!D8</f>
        <v>6</v>
      </c>
      <c r="D5" s="35">
        <f>'FOUND DATA'!E8</f>
        <v>0.2</v>
      </c>
      <c r="E5" s="36">
        <f>'FOUND DATA'!F8</f>
        <v>0</v>
      </c>
      <c r="F5" s="35">
        <f>'FOUND DATA'!G8</f>
        <v>0</v>
      </c>
      <c r="G5" s="36">
        <f>'FOUND DATA'!H8</f>
        <v>3</v>
      </c>
      <c r="H5" s="35">
        <f>'FOUND DATA'!I8</f>
        <v>0.45</v>
      </c>
      <c r="I5" s="36">
        <f>'FOUND DATA'!J8</f>
        <v>0</v>
      </c>
      <c r="J5" s="35">
        <f>'FOUND DATA'!K8</f>
        <v>0</v>
      </c>
      <c r="K5" s="35">
        <f>'FOUND DATA'!L8</f>
        <v>0.05</v>
      </c>
    </row>
    <row r="6">
      <c r="A6" s="36">
        <f>'FOUND DATA'!B9</f>
        <v>16</v>
      </c>
      <c r="B6" s="35">
        <f>'FOUND DATA'!C9</f>
        <v>0.5</v>
      </c>
      <c r="C6" s="36">
        <f>'FOUND DATA'!D9</f>
        <v>6</v>
      </c>
      <c r="D6" s="35">
        <f>'FOUND DATA'!E9</f>
        <v>0.2</v>
      </c>
      <c r="E6" s="36">
        <f>'FOUND DATA'!F9</f>
        <v>0</v>
      </c>
      <c r="F6" s="35">
        <f>'FOUND DATA'!G9</f>
        <v>0</v>
      </c>
      <c r="G6" s="36">
        <f>'FOUND DATA'!H9</f>
        <v>3</v>
      </c>
      <c r="H6" s="35">
        <f>'FOUND DATA'!I9</f>
        <v>0.3</v>
      </c>
      <c r="I6" s="36">
        <f>'FOUND DATA'!J9</f>
        <v>0</v>
      </c>
      <c r="J6" s="35">
        <f>'FOUND DATA'!K9</f>
        <v>0</v>
      </c>
      <c r="K6" s="35">
        <f>'FOUND DATA'!L9</f>
        <v>0</v>
      </c>
    </row>
    <row r="7">
      <c r="A7" s="36">
        <f>'FOUND DATA'!B10</f>
        <v>9</v>
      </c>
      <c r="B7" s="35">
        <f>'FOUND DATA'!C10</f>
        <v>0.36</v>
      </c>
      <c r="C7" s="36">
        <f>'FOUND DATA'!D10</f>
        <v>0</v>
      </c>
      <c r="D7" s="35">
        <f>'FOUND DATA'!E10</f>
        <v>0</v>
      </c>
      <c r="E7" s="36">
        <f>'FOUND DATA'!F10</f>
        <v>0</v>
      </c>
      <c r="F7" s="35">
        <f>'FOUND DATA'!G10</f>
        <v>0</v>
      </c>
      <c r="G7" s="36">
        <f>'FOUND DATA'!H10</f>
        <v>4</v>
      </c>
      <c r="H7" s="35">
        <f>'FOUND DATA'!I10</f>
        <v>0.48</v>
      </c>
      <c r="I7" s="36">
        <f>'FOUND DATA'!J10</f>
        <v>35</v>
      </c>
      <c r="J7" s="35">
        <f>'FOUND DATA'!K10</f>
        <v>0.16</v>
      </c>
      <c r="K7" s="35">
        <f>'FOUND DATA'!L10</f>
        <v>0</v>
      </c>
    </row>
    <row r="8">
      <c r="A8" s="36">
        <f>'FOUND DATA'!B11</f>
        <v>11</v>
      </c>
      <c r="B8" s="35">
        <f>'FOUND DATA'!C11</f>
        <v>0.25</v>
      </c>
      <c r="C8" s="36">
        <f>'FOUND DATA'!D11</f>
        <v>5</v>
      </c>
      <c r="D8" s="35">
        <f>'FOUND DATA'!E11</f>
        <v>0.15</v>
      </c>
      <c r="E8" s="36">
        <f>'FOUND DATA'!F11</f>
        <v>1</v>
      </c>
      <c r="F8" s="35">
        <f>'FOUND DATA'!G11</f>
        <v>0.2</v>
      </c>
      <c r="G8" s="36">
        <f>'FOUND DATA'!H11</f>
        <v>3</v>
      </c>
      <c r="H8" s="35">
        <f>'FOUND DATA'!I11</f>
        <v>0.3</v>
      </c>
      <c r="I8" s="36">
        <f>'FOUND DATA'!J11</f>
        <v>0</v>
      </c>
      <c r="J8" s="35">
        <f>'FOUND DATA'!K11</f>
        <v>0</v>
      </c>
      <c r="K8" s="35">
        <f>'FOUND DATA'!L11</f>
        <v>0.1</v>
      </c>
    </row>
    <row r="9">
      <c r="A9" s="36">
        <f>'FOUND DATA'!B12</f>
        <v>11</v>
      </c>
      <c r="B9" s="35">
        <f>'FOUND DATA'!C12</f>
        <v>0.25</v>
      </c>
      <c r="C9" s="36">
        <f>'FOUND DATA'!D12</f>
        <v>4</v>
      </c>
      <c r="D9" s="35">
        <f>'FOUND DATA'!E12</f>
        <v>0.15</v>
      </c>
      <c r="E9" s="36">
        <f>'FOUND DATA'!F12</f>
        <v>1</v>
      </c>
      <c r="F9" s="35">
        <f>'FOUND DATA'!G12</f>
        <v>0.2</v>
      </c>
      <c r="G9" s="36">
        <f>'FOUND DATA'!H12</f>
        <v>3</v>
      </c>
      <c r="H9" s="35">
        <f>'FOUND DATA'!I12</f>
        <v>0.3</v>
      </c>
      <c r="I9" s="36">
        <f>'FOUND DATA'!J12</f>
        <v>24</v>
      </c>
      <c r="J9" s="35">
        <f>'FOUND DATA'!K12</f>
        <v>0.1</v>
      </c>
      <c r="K9" s="35">
        <f>'FOUND DATA'!L12</f>
        <v>0</v>
      </c>
    </row>
    <row r="10">
      <c r="A10" s="36">
        <f>'FOUND DATA'!B13</f>
        <v>10</v>
      </c>
      <c r="B10" s="35">
        <f>'FOUND DATA'!C13</f>
        <v>0.25</v>
      </c>
      <c r="C10" s="36">
        <f>'FOUND DATA'!D13</f>
        <v>9</v>
      </c>
      <c r="D10" s="35">
        <f>'FOUND DATA'!E13</f>
        <v>0.15</v>
      </c>
      <c r="E10" s="36">
        <f>'FOUND DATA'!F13</f>
        <v>1</v>
      </c>
      <c r="F10" s="35">
        <f>'FOUND DATA'!G13</f>
        <v>0.2</v>
      </c>
      <c r="G10" s="36">
        <f>'FOUND DATA'!H13</f>
        <v>3</v>
      </c>
      <c r="H10" s="35">
        <f>'FOUND DATA'!I13</f>
        <v>0.3</v>
      </c>
      <c r="I10" s="36">
        <f>'FOUND DATA'!J13</f>
        <v>25</v>
      </c>
      <c r="J10" s="35">
        <f>'FOUND DATA'!K13</f>
        <v>0.1</v>
      </c>
      <c r="K10" s="35">
        <f>'FOUND DATA'!L13</f>
        <v>0</v>
      </c>
    </row>
    <row r="11">
      <c r="A11" s="36">
        <f>'FOUND DATA'!B14</f>
        <v>10</v>
      </c>
      <c r="B11" s="35">
        <f>'FOUND DATA'!C14</f>
        <v>0.25</v>
      </c>
      <c r="C11" s="36">
        <f>'FOUND DATA'!D14</f>
        <v>6</v>
      </c>
      <c r="D11" s="35">
        <f>'FOUND DATA'!E14</f>
        <v>0.15</v>
      </c>
      <c r="E11" s="36">
        <f>'FOUND DATA'!F14</f>
        <v>1</v>
      </c>
      <c r="F11" s="35">
        <f>'FOUND DATA'!G14</f>
        <v>0.2</v>
      </c>
      <c r="G11" s="36">
        <f>'FOUND DATA'!H14</f>
        <v>3</v>
      </c>
      <c r="H11" s="35">
        <f>'FOUND DATA'!I14</f>
        <v>0.3</v>
      </c>
      <c r="I11" s="36">
        <f>'FOUND DATA'!J14</f>
        <v>24</v>
      </c>
      <c r="J11" s="35">
        <f>'FOUND DATA'!K14</f>
        <v>0.1</v>
      </c>
      <c r="K11" s="35">
        <f>'FOUND DATA'!L14</f>
        <v>0</v>
      </c>
    </row>
    <row r="12">
      <c r="A12" s="36">
        <f>'FOUND DATA'!B15</f>
        <v>10</v>
      </c>
      <c r="B12" s="35">
        <f>'FOUND DATA'!C15</f>
        <v>0.25</v>
      </c>
      <c r="C12" s="36">
        <f>'FOUND DATA'!D15</f>
        <v>1</v>
      </c>
      <c r="D12" s="35">
        <f>'FOUND DATA'!E15</f>
        <v>0.1</v>
      </c>
      <c r="E12" s="36">
        <f>'FOUND DATA'!F15</f>
        <v>1</v>
      </c>
      <c r="F12" s="35">
        <f>'FOUND DATA'!G15</f>
        <v>0.2</v>
      </c>
      <c r="G12" s="36">
        <f>'FOUND DATA'!H15</f>
        <v>3</v>
      </c>
      <c r="H12" s="35">
        <f>'FOUND DATA'!I15</f>
        <v>0.3</v>
      </c>
      <c r="I12" s="36">
        <f>'FOUND DATA'!J15</f>
        <v>24</v>
      </c>
      <c r="J12" s="35">
        <f>'FOUND DATA'!K15</f>
        <v>0.15</v>
      </c>
      <c r="K12" s="35">
        <f>'FOUND DATA'!L15</f>
        <v>0</v>
      </c>
    </row>
    <row r="13">
      <c r="A13" s="36">
        <f>'FOUND DATA'!B16</f>
        <v>10</v>
      </c>
      <c r="B13" s="35">
        <f>'FOUND DATA'!C16</f>
        <v>0.25</v>
      </c>
      <c r="C13" s="36">
        <f>'FOUND DATA'!D16</f>
        <v>1</v>
      </c>
      <c r="D13" s="35">
        <f>'FOUND DATA'!E16</f>
        <v>0.1</v>
      </c>
      <c r="E13" s="36">
        <f>'FOUND DATA'!F16</f>
        <v>1</v>
      </c>
      <c r="F13" s="35">
        <f>'FOUND DATA'!G16</f>
        <v>0.2</v>
      </c>
      <c r="G13" s="36">
        <f>'FOUND DATA'!H16</f>
        <v>3</v>
      </c>
      <c r="H13" s="35">
        <f>'FOUND DATA'!I16</f>
        <v>0.3</v>
      </c>
      <c r="I13" s="36">
        <f>'FOUND DATA'!J16</f>
        <v>28</v>
      </c>
      <c r="J13" s="35">
        <f>'FOUND DATA'!K16</f>
        <v>0.15</v>
      </c>
      <c r="K13" s="35">
        <f>'FOUND DATA'!L16</f>
        <v>0</v>
      </c>
    </row>
    <row r="14">
      <c r="A14" s="36">
        <f>'FOUND DATA'!B17</f>
        <v>12</v>
      </c>
      <c r="B14" s="35">
        <f>'FOUND DATA'!C17</f>
        <v>0.45</v>
      </c>
      <c r="C14" s="36">
        <f>'FOUND DATA'!D17</f>
        <v>11</v>
      </c>
      <c r="D14" s="35">
        <f>'FOUND DATA'!E17</f>
        <v>0.5</v>
      </c>
      <c r="E14" s="36">
        <f>'FOUND DATA'!F17</f>
        <v>0</v>
      </c>
      <c r="F14" s="35">
        <f>'FOUND DATA'!G17</f>
        <v>0</v>
      </c>
      <c r="G14" s="36">
        <f>'FOUND DATA'!H17</f>
        <v>0</v>
      </c>
      <c r="H14" s="35">
        <f>'FOUND DATA'!I17</f>
        <v>0</v>
      </c>
      <c r="I14" s="36">
        <f>'FOUND DATA'!J17</f>
        <v>11</v>
      </c>
      <c r="J14" s="35">
        <f>'FOUND DATA'!K17</f>
        <v>0.05</v>
      </c>
      <c r="K14" s="35">
        <f>'FOUND DATA'!L17</f>
        <v>0</v>
      </c>
    </row>
    <row r="15">
      <c r="A15" s="36">
        <f>'FOUND DATA'!B18</f>
        <v>8</v>
      </c>
      <c r="B15" s="35">
        <f>'FOUND DATA'!C18</f>
        <v>0.15</v>
      </c>
      <c r="C15" s="36">
        <f>'FOUND DATA'!D18</f>
        <v>1</v>
      </c>
      <c r="D15" s="35">
        <f>'FOUND DATA'!E18</f>
        <v>0.1</v>
      </c>
      <c r="E15" s="36">
        <f>'FOUND DATA'!F18</f>
        <v>1</v>
      </c>
      <c r="F15" s="35">
        <f>'FOUND DATA'!G18</f>
        <v>0.22</v>
      </c>
      <c r="G15" s="36">
        <f>'FOUND DATA'!H18</f>
        <v>3</v>
      </c>
      <c r="H15" s="35">
        <f>'FOUND DATA'!I18</f>
        <v>0.42</v>
      </c>
      <c r="I15" s="36">
        <f>'FOUND DATA'!J18</f>
        <v>0</v>
      </c>
      <c r="J15" s="35">
        <f>'FOUND DATA'!K18</f>
        <v>0</v>
      </c>
      <c r="K15" s="35">
        <f>'FOUND DATA'!L18</f>
        <v>0.11</v>
      </c>
    </row>
    <row r="16">
      <c r="A16" s="36">
        <f>'FOUND DATA'!B19</f>
        <v>4</v>
      </c>
      <c r="B16" s="35">
        <f>'FOUND DATA'!C19</f>
        <v>0.2</v>
      </c>
      <c r="C16" s="36">
        <f>'FOUND DATA'!D19</f>
        <v>0</v>
      </c>
      <c r="D16" s="35">
        <f>'FOUND DATA'!E19</f>
        <v>0</v>
      </c>
      <c r="E16" s="36">
        <f>'FOUND DATA'!F19</f>
        <v>0</v>
      </c>
      <c r="F16" s="35">
        <f>'FOUND DATA'!G19</f>
        <v>0</v>
      </c>
      <c r="G16" s="36">
        <f>'FOUND DATA'!H19</f>
        <v>4</v>
      </c>
      <c r="H16" s="35">
        <f>'FOUND DATA'!I19</f>
        <v>0.8</v>
      </c>
      <c r="I16" s="36">
        <f>'FOUND DATA'!J19</f>
        <v>0</v>
      </c>
      <c r="J16" s="35">
        <f>'FOUND DATA'!K19</f>
        <v>0</v>
      </c>
      <c r="K16" s="35">
        <f>'FOUND DATA'!L19</f>
        <v>0</v>
      </c>
    </row>
    <row r="17">
      <c r="A17" s="36">
        <f>'FOUND DATA'!B20</f>
        <v>6</v>
      </c>
      <c r="B17" s="35">
        <f>'FOUND DATA'!C20</f>
        <v>0.15</v>
      </c>
      <c r="C17" s="36">
        <f>'FOUND DATA'!D20</f>
        <v>0</v>
      </c>
      <c r="D17" s="35">
        <f>'FOUND DATA'!E20</f>
        <v>0</v>
      </c>
      <c r="E17" s="36">
        <f>'FOUND DATA'!F20</f>
        <v>1</v>
      </c>
      <c r="F17" s="35">
        <f>'FOUND DATA'!G20</f>
        <v>0.25</v>
      </c>
      <c r="G17" s="36">
        <f>'FOUND DATA'!H20</f>
        <v>2</v>
      </c>
      <c r="H17" s="35">
        <f>'FOUND DATA'!I20</f>
        <v>0.4</v>
      </c>
      <c r="I17" s="36">
        <f>'FOUND DATA'!J20</f>
        <v>3</v>
      </c>
      <c r="J17" s="35">
        <f>'FOUND DATA'!K20</f>
        <v>0.15</v>
      </c>
      <c r="K17" s="35">
        <f>'FOUND DATA'!L20</f>
        <v>0.05</v>
      </c>
    </row>
    <row r="18">
      <c r="A18" s="36">
        <f>'FOUND DATA'!B21</f>
        <v>6</v>
      </c>
      <c r="B18" s="35">
        <f>'FOUND DATA'!C21</f>
        <v>0.15</v>
      </c>
      <c r="C18" s="36">
        <f>'FOUND DATA'!D21</f>
        <v>0</v>
      </c>
      <c r="D18" s="35">
        <f>'FOUND DATA'!E21</f>
        <v>0</v>
      </c>
      <c r="E18" s="36">
        <f>'FOUND DATA'!F21</f>
        <v>1</v>
      </c>
      <c r="F18" s="35">
        <f>'FOUND DATA'!G21</f>
        <v>0.25</v>
      </c>
      <c r="G18" s="36">
        <f>'FOUND DATA'!H21</f>
        <v>2</v>
      </c>
      <c r="H18" s="35">
        <f>'FOUND DATA'!I21</f>
        <v>0.4</v>
      </c>
      <c r="I18" s="36">
        <f>'FOUND DATA'!J21</f>
        <v>3</v>
      </c>
      <c r="J18" s="35">
        <f>'FOUND DATA'!K21</f>
        <v>0.15</v>
      </c>
      <c r="K18" s="35">
        <f>'FOUND DATA'!L21</f>
        <v>0.05</v>
      </c>
    </row>
    <row r="19">
      <c r="A19" s="36">
        <f>'FOUND DATA'!B22</f>
        <v>0</v>
      </c>
      <c r="B19" s="36">
        <f>'FOUND DATA'!C22</f>
        <v>0</v>
      </c>
      <c r="C19" s="36">
        <f>'FOUND DATA'!D22</f>
        <v>11</v>
      </c>
      <c r="D19" s="36">
        <f>'FOUND DATA'!E22</f>
        <v>0.95</v>
      </c>
      <c r="E19" s="36">
        <f>'FOUND DATA'!F22</f>
        <v>0</v>
      </c>
      <c r="F19" s="36">
        <f>'FOUND DATA'!G22</f>
        <v>0</v>
      </c>
      <c r="G19" s="36">
        <f>'FOUND DATA'!H22</f>
        <v>0</v>
      </c>
      <c r="H19" s="36">
        <f>'FOUND DATA'!I22</f>
        <v>0</v>
      </c>
      <c r="I19" s="36">
        <f>'FOUND DATA'!J22</f>
        <v>0</v>
      </c>
      <c r="J19" s="36">
        <f>'FOUND DATA'!K22</f>
        <v>0</v>
      </c>
      <c r="K19" s="35">
        <f>'FOUND DATA'!L22</f>
        <v>0.05</v>
      </c>
    </row>
    <row r="20">
      <c r="A20" s="36">
        <f>'FOUND DATA'!B23</f>
        <v>11</v>
      </c>
      <c r="B20" s="36">
        <f>'FOUND DATA'!C23</f>
        <v>0.25</v>
      </c>
      <c r="C20" s="36">
        <f>'FOUND DATA'!D23</f>
        <v>1</v>
      </c>
      <c r="D20" s="36">
        <f>'FOUND DATA'!E23</f>
        <v>0.2</v>
      </c>
      <c r="E20" s="36">
        <f>'FOUND DATA'!F23</f>
        <v>0</v>
      </c>
      <c r="F20" s="36">
        <f>'FOUND DATA'!G23</f>
        <v>0</v>
      </c>
      <c r="G20" s="36">
        <f>'FOUND DATA'!H23</f>
        <v>2</v>
      </c>
      <c r="H20" s="36">
        <f>'FOUND DATA'!I23</f>
        <v>0.5</v>
      </c>
      <c r="I20" s="36">
        <f>'FOUND DATA'!J23</f>
        <v>0</v>
      </c>
      <c r="J20" s="36">
        <f>'FOUND DATA'!K23</f>
        <v>0</v>
      </c>
      <c r="K20" s="35">
        <f>'FOUND DATA'!L23</f>
        <v>0.05</v>
      </c>
    </row>
    <row r="21">
      <c r="A21" s="36">
        <f>'FOUND DATA'!B24</f>
        <v>0</v>
      </c>
      <c r="B21" s="36">
        <f>'FOUND DATA'!C24</f>
        <v>0</v>
      </c>
      <c r="C21" s="36">
        <f>'FOUND DATA'!D24</f>
        <v>3</v>
      </c>
      <c r="D21" s="36">
        <f>'FOUND DATA'!E24</f>
        <v>0.84</v>
      </c>
      <c r="E21" s="36">
        <f>'FOUND DATA'!F24</f>
        <v>0</v>
      </c>
      <c r="F21" s="36">
        <f>'FOUND DATA'!G24</f>
        <v>0</v>
      </c>
      <c r="G21" s="36">
        <f>'FOUND DATA'!H24</f>
        <v>0</v>
      </c>
      <c r="H21" s="36">
        <f>'FOUND DATA'!I24</f>
        <v>0</v>
      </c>
      <c r="I21" s="36">
        <f>'FOUND DATA'!J24</f>
        <v>0</v>
      </c>
      <c r="J21" s="36">
        <f>'FOUND DATA'!K24</f>
        <v>0</v>
      </c>
      <c r="K21" s="35">
        <f>'FOUND DATA'!L24</f>
        <v>0.16</v>
      </c>
    </row>
    <row r="22">
      <c r="A22" s="36">
        <f>'FOUND DATA'!B25</f>
        <v>14</v>
      </c>
      <c r="B22" s="36">
        <f>'FOUND DATA'!C25</f>
        <v>0.1</v>
      </c>
      <c r="C22" s="36">
        <f>'FOUND DATA'!D25</f>
        <v>0</v>
      </c>
      <c r="D22" s="36">
        <f>'FOUND DATA'!E25</f>
        <v>0</v>
      </c>
      <c r="E22" s="36">
        <f>'FOUND DATA'!F25</f>
        <v>1</v>
      </c>
      <c r="F22" s="36">
        <f>'FOUND DATA'!G25</f>
        <v>0.3</v>
      </c>
      <c r="G22" s="36">
        <f>'FOUND DATA'!H25</f>
        <v>3</v>
      </c>
      <c r="H22" s="36">
        <f>'FOUND DATA'!I25</f>
        <v>0.5</v>
      </c>
      <c r="I22" s="36">
        <f>'FOUND DATA'!J25</f>
        <v>14</v>
      </c>
      <c r="J22" s="36">
        <f>'FOUND DATA'!K25</f>
        <v>0.1</v>
      </c>
      <c r="K22" s="35">
        <f>'FOUND DATA'!L25</f>
        <v>0</v>
      </c>
    </row>
    <row r="23">
      <c r="A23" s="36">
        <f>'FOUND DATA'!B26</f>
        <v>10</v>
      </c>
      <c r="B23" s="36">
        <f>'FOUND DATA'!C26</f>
        <v>0.15</v>
      </c>
      <c r="C23" s="36">
        <f>'FOUND DATA'!D26</f>
        <v>0</v>
      </c>
      <c r="D23" s="36">
        <f>'FOUND DATA'!E26</f>
        <v>0</v>
      </c>
      <c r="E23" s="36">
        <f>'FOUND DATA'!F26</f>
        <v>1</v>
      </c>
      <c r="F23" s="36">
        <f>'FOUND DATA'!G26</f>
        <v>0.3</v>
      </c>
      <c r="G23" s="36">
        <f>'FOUND DATA'!H26</f>
        <v>2</v>
      </c>
      <c r="H23" s="36">
        <f>'FOUND DATA'!I26</f>
        <v>0.4</v>
      </c>
      <c r="I23" s="36">
        <f>'FOUND DATA'!J26</f>
        <v>0</v>
      </c>
      <c r="J23" s="36">
        <f>'FOUND DATA'!K26</f>
        <v>0</v>
      </c>
      <c r="K23" s="35">
        <f>'FOUND DATA'!L26</f>
        <v>0.15</v>
      </c>
    </row>
    <row r="24">
      <c r="A24" s="36">
        <f>'FOUND DATA'!B27</f>
        <v>10</v>
      </c>
      <c r="B24" s="36">
        <f>'FOUND DATA'!C27</f>
        <v>0.15</v>
      </c>
      <c r="C24" s="36">
        <f>'FOUND DATA'!D27</f>
        <v>0</v>
      </c>
      <c r="D24" s="36">
        <f>'FOUND DATA'!E27</f>
        <v>0</v>
      </c>
      <c r="E24" s="36">
        <f>'FOUND DATA'!F27</f>
        <v>1</v>
      </c>
      <c r="F24" s="36">
        <f>'FOUND DATA'!G27</f>
        <v>0.3</v>
      </c>
      <c r="G24" s="36">
        <f>'FOUND DATA'!H27</f>
        <v>2</v>
      </c>
      <c r="H24" s="36">
        <f>'FOUND DATA'!I27</f>
        <v>0.4</v>
      </c>
      <c r="I24" s="36">
        <f>'FOUND DATA'!J27</f>
        <v>0</v>
      </c>
      <c r="J24" s="36">
        <f>'FOUND DATA'!K27</f>
        <v>0</v>
      </c>
      <c r="K24" s="35">
        <f>'FOUND DATA'!L27</f>
        <v>0.15</v>
      </c>
    </row>
    <row r="25">
      <c r="A25" s="36">
        <f>'FOUND DATA'!B28</f>
        <v>11</v>
      </c>
      <c r="B25" s="36">
        <f>'FOUND DATA'!C28</f>
        <v>0.15</v>
      </c>
      <c r="C25" s="36">
        <f>'FOUND DATA'!D28</f>
        <v>0</v>
      </c>
      <c r="D25" s="36">
        <f>'FOUND DATA'!E28</f>
        <v>0</v>
      </c>
      <c r="E25" s="36">
        <f>'FOUND DATA'!F28</f>
        <v>1</v>
      </c>
      <c r="F25" s="36">
        <f>'FOUND DATA'!G28</f>
        <v>0.2125</v>
      </c>
      <c r="G25" s="36">
        <f>'FOUND DATA'!H28</f>
        <v>3</v>
      </c>
      <c r="H25" s="36">
        <f>'FOUND DATA'!I28</f>
        <v>0.6375</v>
      </c>
      <c r="I25" s="36">
        <f>'FOUND DATA'!J28</f>
        <v>0</v>
      </c>
      <c r="J25" s="36">
        <f>'FOUND DATA'!K28</f>
        <v>0</v>
      </c>
      <c r="K25" s="35">
        <f>'FOUND DATA'!L28</f>
        <v>0</v>
      </c>
    </row>
    <row r="26">
      <c r="A26" s="36">
        <f>'FOUND DATA'!B29</f>
        <v>11</v>
      </c>
      <c r="B26" s="36">
        <f>'FOUND DATA'!C29</f>
        <v>0.5</v>
      </c>
      <c r="C26" s="36">
        <f>'FOUND DATA'!D29</f>
        <v>0</v>
      </c>
      <c r="D26" s="36">
        <f>'FOUND DATA'!E29</f>
        <v>0</v>
      </c>
      <c r="E26" s="36">
        <f>'FOUND DATA'!F29</f>
        <v>0</v>
      </c>
      <c r="F26" s="36">
        <f>'FOUND DATA'!G29</f>
        <v>0</v>
      </c>
      <c r="G26" s="36">
        <f>'FOUND DATA'!H29</f>
        <v>3</v>
      </c>
      <c r="H26" s="36">
        <f>'FOUND DATA'!I29</f>
        <v>0.5</v>
      </c>
      <c r="I26" s="36">
        <f>'FOUND DATA'!J29</f>
        <v>0</v>
      </c>
      <c r="J26" s="36">
        <f>'FOUND DATA'!K29</f>
        <v>0</v>
      </c>
      <c r="K26" s="35">
        <f>'FOUND DATA'!L29</f>
        <v>0</v>
      </c>
    </row>
    <row r="27">
      <c r="A27" s="36">
        <f>'FOUND DATA'!B30</f>
        <v>14</v>
      </c>
      <c r="B27" s="36">
        <f>'FOUND DATA'!C30</f>
        <v>0.1</v>
      </c>
      <c r="C27" s="36">
        <f>'FOUND DATA'!D30</f>
        <v>2</v>
      </c>
      <c r="D27" s="36">
        <f>'FOUND DATA'!E30</f>
        <v>0.15</v>
      </c>
      <c r="E27" s="36">
        <f>'FOUND DATA'!F30</f>
        <v>1</v>
      </c>
      <c r="F27" s="36">
        <f>'FOUND DATA'!G30</f>
        <v>0.35</v>
      </c>
      <c r="G27" s="36">
        <f>'FOUND DATA'!H30</f>
        <v>1</v>
      </c>
      <c r="H27" s="36">
        <f>'FOUND DATA'!I30</f>
        <v>0.2</v>
      </c>
      <c r="I27" s="36">
        <f>'FOUND DATA'!J30</f>
        <v>4</v>
      </c>
      <c r="J27" s="36">
        <f>'FOUND DATA'!K30</f>
        <v>0.15</v>
      </c>
      <c r="K27" s="35">
        <f>'FOUND DATA'!L30</f>
        <v>0.05</v>
      </c>
    </row>
    <row r="28">
      <c r="A28" s="36">
        <f>'FOUND DATA'!B31</f>
        <v>13</v>
      </c>
      <c r="B28" s="35">
        <f>'FOUND DATA'!C31</f>
        <v>0.1</v>
      </c>
      <c r="C28" s="36">
        <f>'FOUND DATA'!D31</f>
        <v>0</v>
      </c>
      <c r="D28" s="35">
        <f>'FOUND DATA'!E31</f>
        <v>0</v>
      </c>
      <c r="E28" s="36">
        <f>'FOUND DATA'!F31</f>
        <v>1</v>
      </c>
      <c r="F28" s="35">
        <f>'FOUND DATA'!G31</f>
        <v>0.25</v>
      </c>
      <c r="G28" s="36">
        <f>'FOUND DATA'!H31</f>
        <v>2</v>
      </c>
      <c r="H28" s="35">
        <f>'FOUND DATA'!I31</f>
        <v>0.4</v>
      </c>
      <c r="I28" s="36">
        <f>'FOUND DATA'!J31</f>
        <v>15</v>
      </c>
      <c r="J28" s="35">
        <f>'FOUND DATA'!K31</f>
        <v>0.15</v>
      </c>
      <c r="K28" s="35">
        <f>'FOUND DATA'!L31</f>
        <v>0.1</v>
      </c>
    </row>
    <row r="29">
      <c r="A29" s="36">
        <f>'FOUND DATA'!B32</f>
        <v>0</v>
      </c>
      <c r="B29" s="35">
        <f>'FOUND DATA'!C32</f>
        <v>0</v>
      </c>
      <c r="C29" s="36">
        <f>'FOUND DATA'!D32</f>
        <v>0</v>
      </c>
      <c r="D29" s="35">
        <f>'FOUND DATA'!E32</f>
        <v>0</v>
      </c>
      <c r="E29" s="36">
        <f>'FOUND DATA'!F32</f>
        <v>1</v>
      </c>
      <c r="F29" s="35">
        <f>'FOUND DATA'!G32</f>
        <v>0.2</v>
      </c>
      <c r="G29" s="36">
        <f>'FOUND DATA'!H32</f>
        <v>3</v>
      </c>
      <c r="H29" s="35">
        <f>'FOUND DATA'!I32</f>
        <v>0.55</v>
      </c>
      <c r="I29" s="36">
        <f>'FOUND DATA'!J32</f>
        <v>15</v>
      </c>
      <c r="J29" s="35">
        <f>'FOUND DATA'!K32</f>
        <v>0.15</v>
      </c>
      <c r="K29" s="35">
        <f>'FOUND DATA'!L32</f>
        <v>0.1</v>
      </c>
    </row>
    <row r="30">
      <c r="A30" s="36">
        <f>'FOUND DATA'!B33</f>
        <v>12</v>
      </c>
      <c r="B30" s="35">
        <f>'FOUND DATA'!C33</f>
        <v>0.05</v>
      </c>
      <c r="C30" s="36">
        <f>'FOUND DATA'!D33</f>
        <v>0</v>
      </c>
      <c r="D30" s="35">
        <f>'FOUND DATA'!E33</f>
        <v>0</v>
      </c>
      <c r="E30" s="36">
        <f>'FOUND DATA'!F33</f>
        <v>0</v>
      </c>
      <c r="F30" s="35">
        <f>'FOUND DATA'!G33</f>
        <v>0</v>
      </c>
      <c r="G30" s="36">
        <f>'FOUND DATA'!H33</f>
        <v>3</v>
      </c>
      <c r="H30" s="35">
        <f>'FOUND DATA'!I33</f>
        <v>0.8</v>
      </c>
      <c r="I30" s="36">
        <f>'FOUND DATA'!J33</f>
        <v>15</v>
      </c>
      <c r="J30" s="35">
        <f>'FOUND DATA'!K33</f>
        <v>0.15</v>
      </c>
      <c r="K30" s="35">
        <f>'FOUND DATA'!L33</f>
        <v>0</v>
      </c>
    </row>
    <row r="31">
      <c r="A31" s="36">
        <f>'FOUND DATA'!B34</f>
        <v>10</v>
      </c>
      <c r="B31" s="35">
        <f>'FOUND DATA'!C34</f>
        <v>0.19</v>
      </c>
      <c r="C31" s="36">
        <f>'FOUND DATA'!D34</f>
        <v>0</v>
      </c>
      <c r="D31" s="35">
        <f>'FOUND DATA'!E34</f>
        <v>0</v>
      </c>
      <c r="E31" s="36">
        <f>'FOUND DATA'!F34</f>
        <v>0</v>
      </c>
      <c r="F31" s="35">
        <f>'FOUND DATA'!G34</f>
        <v>0</v>
      </c>
      <c r="G31" s="36">
        <f>'FOUND DATA'!H34</f>
        <v>3</v>
      </c>
      <c r="H31" s="35">
        <f>'FOUND DATA'!I34</f>
        <v>0.6</v>
      </c>
      <c r="I31" s="36">
        <f>'FOUND DATA'!J34</f>
        <v>7</v>
      </c>
      <c r="J31" s="35">
        <f>'FOUND DATA'!K34</f>
        <v>0.21</v>
      </c>
      <c r="K31" s="35">
        <f>'FOUND DATA'!L34</f>
        <v>0</v>
      </c>
    </row>
    <row r="32">
      <c r="A32" s="36">
        <f>'FOUND DATA'!B35</f>
        <v>8</v>
      </c>
      <c r="B32" s="35">
        <f>'FOUND DATA'!C35</f>
        <v>0.08</v>
      </c>
      <c r="C32" s="36">
        <f>'FOUND DATA'!D35</f>
        <v>1</v>
      </c>
      <c r="D32" s="35">
        <f>'FOUND DATA'!E35</f>
        <v>0.15</v>
      </c>
      <c r="E32" s="36">
        <f>'FOUND DATA'!F35</f>
        <v>1</v>
      </c>
      <c r="F32" s="35">
        <f>'FOUND DATA'!G35</f>
        <v>0.3</v>
      </c>
      <c r="G32" s="36">
        <f>'FOUND DATA'!H35</f>
        <v>2</v>
      </c>
      <c r="H32" s="35">
        <f>'FOUND DATA'!I35</f>
        <v>0.44</v>
      </c>
      <c r="I32" s="36">
        <f>'FOUND DATA'!J35</f>
        <v>0</v>
      </c>
      <c r="J32" s="35">
        <f>'FOUND DATA'!K35</f>
        <v>0</v>
      </c>
      <c r="K32" s="35">
        <f>'FOUND DATA'!L35</f>
        <v>0.03</v>
      </c>
    </row>
    <row r="33">
      <c r="A33" s="36">
        <f>'FOUND DATA'!B36</f>
        <v>13</v>
      </c>
      <c r="B33" s="35">
        <f>'FOUND DATA'!C36</f>
        <v>0.27</v>
      </c>
      <c r="C33" s="36">
        <f>'FOUND DATA'!D36</f>
        <v>0</v>
      </c>
      <c r="D33" s="35">
        <f>'FOUND DATA'!E36</f>
        <v>0</v>
      </c>
      <c r="E33" s="36">
        <f>'FOUND DATA'!F36</f>
        <v>1</v>
      </c>
      <c r="F33" s="35">
        <f>'FOUND DATA'!G36</f>
        <v>0.3</v>
      </c>
      <c r="G33" s="36">
        <f>'FOUND DATA'!H36</f>
        <v>2</v>
      </c>
      <c r="H33" s="35">
        <f>'FOUND DATA'!I36</f>
        <v>0.38</v>
      </c>
      <c r="I33" s="36">
        <f>'FOUND DATA'!J36</f>
        <v>0</v>
      </c>
      <c r="J33" s="35">
        <f>'FOUND DATA'!K36</f>
        <v>0</v>
      </c>
      <c r="K33" s="35">
        <f>'FOUND DATA'!L36</f>
        <v>0.05</v>
      </c>
    </row>
    <row r="34">
      <c r="A34" s="36">
        <f>'FOUND DATA'!B37</f>
        <v>12</v>
      </c>
      <c r="B34" s="35">
        <f>'FOUND DATA'!C37</f>
        <v>0.4</v>
      </c>
      <c r="C34" s="36">
        <f>'FOUND DATA'!D37</f>
        <v>2</v>
      </c>
      <c r="D34" s="35">
        <f>'FOUND DATA'!E37</f>
        <v>0.3</v>
      </c>
      <c r="E34" s="36">
        <f>'FOUND DATA'!F37</f>
        <v>0</v>
      </c>
      <c r="F34" s="35">
        <f>'FOUND DATA'!G37</f>
        <v>0</v>
      </c>
      <c r="G34" s="36">
        <f>'FOUND DATA'!H37</f>
        <v>2</v>
      </c>
      <c r="H34" s="35">
        <f>'FOUND DATA'!I37</f>
        <v>0.3</v>
      </c>
      <c r="I34" s="36">
        <f>'FOUND DATA'!J37</f>
        <v>0</v>
      </c>
      <c r="J34" s="35">
        <f>'FOUND DATA'!K37</f>
        <v>0</v>
      </c>
      <c r="K34" s="35">
        <f>'FOUND DATA'!L37</f>
        <v>0</v>
      </c>
    </row>
    <row r="35">
      <c r="A35" s="36">
        <f>'FOUND DATA'!B38</f>
        <v>5</v>
      </c>
      <c r="B35" s="35">
        <f>'FOUND DATA'!C38</f>
        <v>0.5</v>
      </c>
      <c r="C35" s="36">
        <f>'FOUND DATA'!D38</f>
        <v>0</v>
      </c>
      <c r="D35" s="35">
        <f>'FOUND DATA'!E38</f>
        <v>0</v>
      </c>
      <c r="E35" s="36">
        <f>'FOUND DATA'!F38</f>
        <v>0</v>
      </c>
      <c r="F35" s="35">
        <f>'FOUND DATA'!G38</f>
        <v>0</v>
      </c>
      <c r="G35" s="36">
        <f>'FOUND DATA'!H38</f>
        <v>2</v>
      </c>
      <c r="H35" s="35">
        <f>'FOUND DATA'!I38</f>
        <v>0.5</v>
      </c>
      <c r="I35" s="36">
        <f>'FOUND DATA'!J38</f>
        <v>0</v>
      </c>
      <c r="J35" s="35">
        <f>'FOUND DATA'!K38</f>
        <v>0</v>
      </c>
      <c r="K35" s="35">
        <f>'FOUND DATA'!L38</f>
        <v>0</v>
      </c>
    </row>
    <row r="36">
      <c r="A36" s="36">
        <f>'FOUND DATA'!B39</f>
        <v>21</v>
      </c>
      <c r="B36" s="35">
        <f>'FOUND DATA'!C39</f>
        <v>0.7</v>
      </c>
      <c r="C36" s="36">
        <f>'FOUND DATA'!D39</f>
        <v>1</v>
      </c>
      <c r="D36" s="35">
        <f>'FOUND DATA'!E39</f>
        <v>0.3</v>
      </c>
      <c r="E36" s="36">
        <f>'FOUND DATA'!F39</f>
        <v>0</v>
      </c>
      <c r="F36" s="35">
        <f>'FOUND DATA'!G39</f>
        <v>0</v>
      </c>
      <c r="G36" s="36">
        <f>'FOUND DATA'!H39</f>
        <v>0</v>
      </c>
      <c r="H36" s="35">
        <f>'FOUND DATA'!I39</f>
        <v>0</v>
      </c>
      <c r="I36" s="36">
        <f>'FOUND DATA'!J39</f>
        <v>0</v>
      </c>
      <c r="J36" s="35">
        <f>'FOUND DATA'!K39</f>
        <v>0</v>
      </c>
      <c r="K36" s="35">
        <f>'FOUND DATA'!L39</f>
        <v>0</v>
      </c>
    </row>
    <row r="37">
      <c r="A37" s="36">
        <f>'FOUND DATA'!B40</f>
        <v>15</v>
      </c>
      <c r="B37" s="35">
        <f>'FOUND DATA'!C40</f>
        <v>0.15</v>
      </c>
      <c r="C37" s="36">
        <f>'FOUND DATA'!D40</f>
        <v>3</v>
      </c>
      <c r="D37" s="35">
        <f>'FOUND DATA'!E40</f>
        <v>0.3</v>
      </c>
      <c r="E37" s="36">
        <f>'FOUND DATA'!F40</f>
        <v>1</v>
      </c>
      <c r="F37" s="35">
        <f>'FOUND DATA'!G40</f>
        <v>0.2</v>
      </c>
      <c r="G37" s="36">
        <f>'FOUND DATA'!H40</f>
        <v>1</v>
      </c>
      <c r="H37" s="35">
        <f>'FOUND DATA'!I40</f>
        <v>0.2</v>
      </c>
      <c r="I37" s="36">
        <f>'FOUND DATA'!J40</f>
        <v>6</v>
      </c>
      <c r="J37" s="35">
        <f>'FOUND DATA'!K40</f>
        <v>0.15</v>
      </c>
      <c r="K37" s="35">
        <f>'FOUND DATA'!L40</f>
        <v>0</v>
      </c>
    </row>
    <row r="38">
      <c r="A38" s="36">
        <f>'FOUND DATA'!B41</f>
        <v>15</v>
      </c>
      <c r="B38" s="35">
        <f>'FOUND DATA'!C41</f>
        <v>0.15</v>
      </c>
      <c r="C38" s="36">
        <f>'FOUND DATA'!D41</f>
        <v>3</v>
      </c>
      <c r="D38" s="35">
        <f>'FOUND DATA'!E41</f>
        <v>0.3</v>
      </c>
      <c r="E38" s="36">
        <f>'FOUND DATA'!F41</f>
        <v>1</v>
      </c>
      <c r="F38" s="35">
        <f>'FOUND DATA'!G41</f>
        <v>0.2</v>
      </c>
      <c r="G38" s="36">
        <f>'FOUND DATA'!H41</f>
        <v>1</v>
      </c>
      <c r="H38" s="35">
        <f>'FOUND DATA'!I41</f>
        <v>0.2</v>
      </c>
      <c r="I38" s="36">
        <f>'FOUND DATA'!J41</f>
        <v>6</v>
      </c>
      <c r="J38" s="35">
        <f>'FOUND DATA'!K41</f>
        <v>0.15</v>
      </c>
      <c r="K38" s="35">
        <f>'FOUND DATA'!L41</f>
        <v>0</v>
      </c>
    </row>
    <row r="39">
      <c r="A39" s="36">
        <f>'FOUND DATA'!B42</f>
        <v>15</v>
      </c>
      <c r="B39" s="35">
        <f>'FOUND DATA'!C42</f>
        <v>0.15</v>
      </c>
      <c r="C39" s="36">
        <f>'FOUND DATA'!D42</f>
        <v>3</v>
      </c>
      <c r="D39" s="35">
        <f>'FOUND DATA'!E42</f>
        <v>0.3</v>
      </c>
      <c r="E39" s="36">
        <f>'FOUND DATA'!F42</f>
        <v>1</v>
      </c>
      <c r="F39" s="35">
        <f>'FOUND DATA'!G42</f>
        <v>0.2</v>
      </c>
      <c r="G39" s="36">
        <f>'FOUND DATA'!H42</f>
        <v>1</v>
      </c>
      <c r="H39" s="35">
        <f>'FOUND DATA'!I42</f>
        <v>0.2</v>
      </c>
      <c r="I39" s="36">
        <f>'FOUND DATA'!J42</f>
        <v>6</v>
      </c>
      <c r="J39" s="35">
        <f>'FOUND DATA'!K42</f>
        <v>0.15</v>
      </c>
      <c r="K39" s="35">
        <f>'FOUND DATA'!L42</f>
        <v>0</v>
      </c>
    </row>
    <row r="40">
      <c r="A40" s="36">
        <f>'FOUND DATA'!B43</f>
        <v>7</v>
      </c>
      <c r="B40" s="35">
        <f>'FOUND DATA'!C43</f>
        <v>0.5</v>
      </c>
      <c r="C40" s="36">
        <f>'FOUND DATA'!D43</f>
        <v>0</v>
      </c>
      <c r="D40" s="35">
        <f>'FOUND DATA'!E43</f>
        <v>0</v>
      </c>
      <c r="E40" s="36">
        <f>'FOUND DATA'!F43</f>
        <v>1</v>
      </c>
      <c r="F40" s="35">
        <f>'FOUND DATA'!G43</f>
        <v>0.3</v>
      </c>
      <c r="G40" s="36">
        <f>'FOUND DATA'!H43</f>
        <v>1</v>
      </c>
      <c r="H40" s="35">
        <f>'FOUND DATA'!I43</f>
        <v>0.2</v>
      </c>
      <c r="I40" s="36">
        <f>'FOUND DATA'!J43</f>
        <v>0</v>
      </c>
      <c r="J40" s="35">
        <f>'FOUND DATA'!K43</f>
        <v>0</v>
      </c>
      <c r="K40" s="35">
        <f>'FOUND DATA'!L43</f>
        <v>0</v>
      </c>
    </row>
    <row r="41">
      <c r="A41" s="36">
        <f>'FOUND DATA'!B44</f>
        <v>7</v>
      </c>
      <c r="B41" s="35">
        <f>'FOUND DATA'!C44</f>
        <v>0.55</v>
      </c>
      <c r="C41" s="36">
        <f>'FOUND DATA'!D44</f>
        <v>0</v>
      </c>
      <c r="D41" s="35">
        <f>'FOUND DATA'!E44</f>
        <v>0</v>
      </c>
      <c r="E41" s="36">
        <f>'FOUND DATA'!F44</f>
        <v>0</v>
      </c>
      <c r="F41" s="35">
        <f>'FOUND DATA'!G44</f>
        <v>0</v>
      </c>
      <c r="G41" s="36">
        <f>'FOUND DATA'!H44</f>
        <v>2</v>
      </c>
      <c r="H41" s="35">
        <f>'FOUND DATA'!I44</f>
        <v>0.45</v>
      </c>
      <c r="I41" s="36">
        <f>'FOUND DATA'!J44</f>
        <v>0</v>
      </c>
      <c r="J41" s="35">
        <f>'FOUND DATA'!K44</f>
        <v>0</v>
      </c>
      <c r="K41" s="35">
        <f>'FOUND DATA'!L44</f>
        <v>0</v>
      </c>
    </row>
    <row r="42">
      <c r="A42" s="36">
        <f>'FOUND DATA'!B45</f>
        <v>11</v>
      </c>
      <c r="B42" s="35">
        <f>'FOUND DATA'!C45</f>
        <v>0.22</v>
      </c>
      <c r="C42" s="36">
        <f>'FOUND DATA'!D45</f>
        <v>0</v>
      </c>
      <c r="D42" s="35">
        <f>'FOUND DATA'!E45</f>
        <v>0</v>
      </c>
      <c r="E42" s="36">
        <f>'FOUND DATA'!F45</f>
        <v>1</v>
      </c>
      <c r="F42" s="35">
        <f>'FOUND DATA'!G45</f>
        <v>0.24</v>
      </c>
      <c r="G42" s="36">
        <f>'FOUND DATA'!H45</f>
        <v>2</v>
      </c>
      <c r="H42" s="35">
        <f>'FOUND DATA'!I45</f>
        <v>0.49</v>
      </c>
      <c r="I42" s="36">
        <f>'FOUND DATA'!J45</f>
        <v>10</v>
      </c>
      <c r="J42" s="35">
        <f>'FOUND DATA'!K45</f>
        <v>0.05</v>
      </c>
      <c r="K42" s="35">
        <f>'FOUND DATA'!L45</f>
        <v>0</v>
      </c>
    </row>
    <row r="43">
      <c r="A43" s="36">
        <f>'FOUND DATA'!B46</f>
        <v>0</v>
      </c>
      <c r="B43" s="35">
        <f>'FOUND DATA'!C46</f>
        <v>0</v>
      </c>
      <c r="C43" s="36">
        <f>'FOUND DATA'!D46</f>
        <v>4</v>
      </c>
      <c r="D43" s="35">
        <f>'FOUND DATA'!E46</f>
        <v>0.6</v>
      </c>
      <c r="E43" s="36">
        <f>'FOUND DATA'!F46</f>
        <v>0</v>
      </c>
      <c r="F43" s="35">
        <f>'FOUND DATA'!G46</f>
        <v>0</v>
      </c>
      <c r="G43" s="36">
        <f>'FOUND DATA'!H46</f>
        <v>0</v>
      </c>
      <c r="H43" s="35">
        <f>'FOUND DATA'!I46</f>
        <v>0</v>
      </c>
      <c r="I43" s="36">
        <f>'FOUND DATA'!J46</f>
        <v>3</v>
      </c>
      <c r="J43" s="35">
        <f>'FOUND DATA'!K46</f>
        <v>0.3</v>
      </c>
      <c r="K43" s="35">
        <f>'FOUND DATA'!L46</f>
        <v>0.1</v>
      </c>
    </row>
    <row r="44">
      <c r="A44" s="36">
        <f>'FOUND DATA'!B47</f>
        <v>11</v>
      </c>
      <c r="B44" s="35">
        <f>'FOUND DATA'!C47</f>
        <v>0.6</v>
      </c>
      <c r="C44" s="36">
        <f>'FOUND DATA'!D47</f>
        <v>1</v>
      </c>
      <c r="D44" s="35">
        <f>'FOUND DATA'!E47</f>
        <v>0.4</v>
      </c>
      <c r="E44" s="36">
        <f>'FOUND DATA'!F47</f>
        <v>0</v>
      </c>
      <c r="F44" s="35">
        <f>'FOUND DATA'!G47</f>
        <v>0</v>
      </c>
      <c r="G44" s="36">
        <f>'FOUND DATA'!H47</f>
        <v>0</v>
      </c>
      <c r="H44" s="35">
        <f>'FOUND DATA'!I47</f>
        <v>0</v>
      </c>
      <c r="I44" s="36">
        <f>'FOUND DATA'!J47</f>
        <v>0</v>
      </c>
      <c r="J44" s="35">
        <f>'FOUND DATA'!K47</f>
        <v>0</v>
      </c>
      <c r="K44" s="35">
        <f>'FOUND DATA'!L47</f>
        <v>0</v>
      </c>
    </row>
    <row r="45">
      <c r="A45" s="36">
        <f>'FOUND DATA'!B48</f>
        <v>15</v>
      </c>
      <c r="B45" s="35">
        <f>'FOUND DATA'!C48</f>
        <v>0.05</v>
      </c>
      <c r="C45" s="36">
        <f>'FOUND DATA'!D48</f>
        <v>1</v>
      </c>
      <c r="D45" s="35">
        <f>'FOUND DATA'!E48</f>
        <v>0.35</v>
      </c>
      <c r="E45" s="36">
        <f>'FOUND DATA'!F48</f>
        <v>0</v>
      </c>
      <c r="F45" s="35">
        <f>'FOUND DATA'!G48</f>
        <v>0</v>
      </c>
      <c r="G45" s="36">
        <f>'FOUND DATA'!H48</f>
        <v>3</v>
      </c>
      <c r="H45" s="35">
        <f>'FOUND DATA'!I48</f>
        <v>0.6</v>
      </c>
      <c r="I45" s="36">
        <f>'FOUND DATA'!J48</f>
        <v>0</v>
      </c>
      <c r="J45" s="35">
        <f>'FOUND DATA'!K48</f>
        <v>0</v>
      </c>
      <c r="K45" s="35">
        <f>'FOUND DATA'!L48</f>
        <v>0</v>
      </c>
    </row>
    <row r="46">
      <c r="A46" s="36">
        <f>'FOUND DATA'!B49</f>
        <v>13</v>
      </c>
      <c r="B46" s="35">
        <f>'FOUND DATA'!C49</f>
        <v>0.25</v>
      </c>
      <c r="C46" s="36">
        <f>'FOUND DATA'!D49</f>
        <v>0</v>
      </c>
      <c r="D46" s="35">
        <f>'FOUND DATA'!E49</f>
        <v>0</v>
      </c>
      <c r="E46" s="36">
        <f>'FOUND DATA'!F49</f>
        <v>1</v>
      </c>
      <c r="F46" s="35">
        <f>'FOUND DATA'!G49</f>
        <v>0.35</v>
      </c>
      <c r="G46" s="36">
        <f>'FOUND DATA'!H49</f>
        <v>2</v>
      </c>
      <c r="H46" s="35">
        <f>'FOUND DATA'!I49</f>
        <v>0.4</v>
      </c>
      <c r="I46" s="36">
        <f>'FOUND DATA'!J49</f>
        <v>0</v>
      </c>
      <c r="J46" s="35">
        <f>'FOUND DATA'!K49</f>
        <v>0</v>
      </c>
      <c r="K46" s="35">
        <f>'FOUND DATA'!L49</f>
        <v>0</v>
      </c>
    </row>
    <row r="47">
      <c r="A47" s="36">
        <f>'FOUND DATA'!B50</f>
        <v>14</v>
      </c>
      <c r="B47" s="35">
        <f>'FOUND DATA'!C50</f>
        <v>0.15</v>
      </c>
      <c r="C47" s="36">
        <f>'FOUND DATA'!D50</f>
        <v>0</v>
      </c>
      <c r="D47" s="35">
        <f>'FOUND DATA'!E50</f>
        <v>0</v>
      </c>
      <c r="E47" s="36">
        <f>'FOUND DATA'!F50</f>
        <v>1</v>
      </c>
      <c r="F47" s="35">
        <f>'FOUND DATA'!G50</f>
        <v>0.25</v>
      </c>
      <c r="G47" s="36">
        <f>'FOUND DATA'!H50</f>
        <v>2</v>
      </c>
      <c r="H47" s="35">
        <f>'FOUND DATA'!I50</f>
        <v>0.45</v>
      </c>
      <c r="I47" s="36">
        <f>'FOUND DATA'!J50</f>
        <v>42</v>
      </c>
      <c r="J47" s="35">
        <f>'FOUND DATA'!K50</f>
        <v>0.1</v>
      </c>
      <c r="K47" s="35">
        <f>'FOUND DATA'!L50</f>
        <v>0.05</v>
      </c>
    </row>
    <row r="48">
      <c r="A48" s="36">
        <f>'FOUND DATA'!B51</f>
        <v>6</v>
      </c>
      <c r="B48" s="35">
        <f>'FOUND DATA'!C51</f>
        <v>0.15</v>
      </c>
      <c r="C48" s="36">
        <f>'FOUND DATA'!D51</f>
        <v>5</v>
      </c>
      <c r="D48" s="35">
        <f>'FOUND DATA'!E51</f>
        <v>0.3</v>
      </c>
      <c r="E48" s="36">
        <f>'FOUND DATA'!F51</f>
        <v>0</v>
      </c>
      <c r="F48" s="35">
        <f>'FOUND DATA'!G51</f>
        <v>0</v>
      </c>
      <c r="G48" s="36">
        <f>'FOUND DATA'!H51</f>
        <v>3</v>
      </c>
      <c r="H48" s="35">
        <f>'FOUND DATA'!I51</f>
        <v>0.45</v>
      </c>
      <c r="I48" s="36">
        <f>'FOUND DATA'!J51</f>
        <v>26</v>
      </c>
      <c r="J48" s="35">
        <f>'FOUND DATA'!K51</f>
        <v>0.1</v>
      </c>
      <c r="K48" s="35">
        <f>'FOUND DATA'!L51</f>
        <v>0</v>
      </c>
    </row>
    <row r="49">
      <c r="A49" s="36">
        <f>'FOUND DATA'!B52</f>
        <v>17</v>
      </c>
      <c r="B49" s="35">
        <f>'FOUND DATA'!C52</f>
        <v>0.15</v>
      </c>
      <c r="C49" s="36">
        <f>'FOUND DATA'!D52</f>
        <v>0</v>
      </c>
      <c r="D49" s="35">
        <f>'FOUND DATA'!E52</f>
        <v>0</v>
      </c>
      <c r="E49" s="36">
        <f>'FOUND DATA'!F52</f>
        <v>1</v>
      </c>
      <c r="F49" s="35">
        <f>'FOUND DATA'!G52</f>
        <v>0.3</v>
      </c>
      <c r="G49" s="36">
        <f>'FOUND DATA'!H52</f>
        <v>2</v>
      </c>
      <c r="H49" s="35">
        <f>'FOUND DATA'!I52</f>
        <v>0.5</v>
      </c>
      <c r="I49" s="36">
        <f>'FOUND DATA'!J52</f>
        <v>0</v>
      </c>
      <c r="J49" s="35">
        <f>'FOUND DATA'!K52</f>
        <v>0</v>
      </c>
      <c r="K49" s="35">
        <f>'FOUND DATA'!L52</f>
        <v>0.05</v>
      </c>
    </row>
    <row r="50">
      <c r="A50" s="36">
        <f>'FOUND DATA'!B53</f>
        <v>8</v>
      </c>
      <c r="B50" s="35">
        <f>'FOUND DATA'!C53</f>
        <v>0.3</v>
      </c>
      <c r="C50" s="36">
        <f>'FOUND DATA'!D53</f>
        <v>0</v>
      </c>
      <c r="D50" s="35">
        <f>'FOUND DATA'!E53</f>
        <v>0</v>
      </c>
      <c r="E50" s="36">
        <f>'FOUND DATA'!F53</f>
        <v>1</v>
      </c>
      <c r="F50" s="35">
        <f>'FOUND DATA'!G53</f>
        <v>0.3</v>
      </c>
      <c r="G50" s="36">
        <f>'FOUND DATA'!H53</f>
        <v>2</v>
      </c>
      <c r="H50" s="35">
        <f>'FOUND DATA'!I53</f>
        <v>0.4</v>
      </c>
      <c r="I50" s="36">
        <f>'FOUND DATA'!J53</f>
        <v>0</v>
      </c>
      <c r="J50" s="35">
        <f>'FOUND DATA'!K53</f>
        <v>0</v>
      </c>
      <c r="K50" s="35">
        <f>'FOUND DATA'!L53</f>
        <v>0</v>
      </c>
    </row>
    <row r="51">
      <c r="A51" s="36">
        <f>'FOUND DATA'!B54</f>
        <v>7</v>
      </c>
      <c r="B51" s="35">
        <f>'FOUND DATA'!C54</f>
        <v>0.1</v>
      </c>
      <c r="C51" s="36">
        <f>'FOUND DATA'!D54</f>
        <v>0</v>
      </c>
      <c r="D51" s="35">
        <f>'FOUND DATA'!E54</f>
        <v>0</v>
      </c>
      <c r="E51" s="36">
        <f>'FOUND DATA'!F54</f>
        <v>1</v>
      </c>
      <c r="F51" s="35">
        <f>'FOUND DATA'!G54</f>
        <v>0.45</v>
      </c>
      <c r="G51" s="36">
        <f>'FOUND DATA'!H54</f>
        <v>2</v>
      </c>
      <c r="H51" s="35">
        <f>'FOUND DATA'!I54</f>
        <v>0.4</v>
      </c>
      <c r="I51" s="36">
        <f>'FOUND DATA'!J54</f>
        <v>0</v>
      </c>
      <c r="J51" s="35">
        <f>'FOUND DATA'!K54</f>
        <v>0</v>
      </c>
      <c r="K51" s="35">
        <f>'FOUND DATA'!L54</f>
        <v>0.05</v>
      </c>
    </row>
    <row r="52">
      <c r="A52" s="36">
        <f>'FOUND DATA'!B55</f>
        <v>12</v>
      </c>
      <c r="B52" s="35">
        <f>'FOUND DATA'!C55</f>
        <v>0.65</v>
      </c>
      <c r="C52" s="36">
        <f>'FOUND DATA'!D55</f>
        <v>3</v>
      </c>
      <c r="D52" s="35">
        <f>'FOUND DATA'!E55</f>
        <v>0.15</v>
      </c>
      <c r="E52" s="36">
        <f>'FOUND DATA'!F55</f>
        <v>0</v>
      </c>
      <c r="F52" s="35">
        <f>'FOUND DATA'!G55</f>
        <v>0</v>
      </c>
      <c r="G52" s="36">
        <f>'FOUND DATA'!H55</f>
        <v>0</v>
      </c>
      <c r="H52" s="35">
        <f>'FOUND DATA'!I55</f>
        <v>0</v>
      </c>
      <c r="I52" s="36">
        <f>'FOUND DATA'!J55</f>
        <v>29</v>
      </c>
      <c r="J52" s="35">
        <f>'FOUND DATA'!K55</f>
        <v>0.2</v>
      </c>
      <c r="K52" s="35">
        <f>'FOUND DATA'!L55</f>
        <v>0</v>
      </c>
    </row>
    <row r="53">
      <c r="A53" s="36">
        <f>'FOUND DATA'!B56</f>
        <v>7</v>
      </c>
      <c r="B53" s="35">
        <f>'FOUND DATA'!C56</f>
        <v>0.15</v>
      </c>
      <c r="C53" s="36">
        <f>'FOUND DATA'!D56</f>
        <v>0</v>
      </c>
      <c r="D53" s="35">
        <f>'FOUND DATA'!E56</f>
        <v>0</v>
      </c>
      <c r="E53" s="36">
        <f>'FOUND DATA'!F56</f>
        <v>1</v>
      </c>
      <c r="F53" s="35">
        <f>'FOUND DATA'!G56</f>
        <v>0.35</v>
      </c>
      <c r="G53" s="36">
        <f>'FOUND DATA'!H56</f>
        <v>0</v>
      </c>
      <c r="H53" s="35">
        <f>'FOUND DATA'!I56</f>
        <v>0</v>
      </c>
      <c r="I53" s="36">
        <f>'FOUND DATA'!J56</f>
        <v>2</v>
      </c>
      <c r="J53" s="35">
        <f>'FOUND DATA'!K56</f>
        <v>0.5</v>
      </c>
      <c r="K53" s="35">
        <f>'FOUND DATA'!L56</f>
        <v>0</v>
      </c>
    </row>
    <row r="54">
      <c r="A54" s="36">
        <f>'FOUND DATA'!B57</f>
        <v>12</v>
      </c>
      <c r="B54" s="35">
        <f>'FOUND DATA'!C57</f>
        <v>0.15</v>
      </c>
      <c r="C54" s="36">
        <f>'FOUND DATA'!D57</f>
        <v>0</v>
      </c>
      <c r="D54" s="35">
        <f>'FOUND DATA'!E57</f>
        <v>0</v>
      </c>
      <c r="E54" s="36">
        <f>'FOUND DATA'!F57</f>
        <v>1</v>
      </c>
      <c r="F54" s="35">
        <f>'FOUND DATA'!G57</f>
        <v>0.3</v>
      </c>
      <c r="G54" s="36">
        <f>'FOUND DATA'!H57</f>
        <v>2</v>
      </c>
      <c r="H54" s="35">
        <f>'FOUND DATA'!I57</f>
        <v>0.5</v>
      </c>
      <c r="I54" s="36">
        <f>'FOUND DATA'!J57</f>
        <v>0</v>
      </c>
      <c r="J54" s="35">
        <f>'FOUND DATA'!K57</f>
        <v>0</v>
      </c>
      <c r="K54" s="35">
        <f>'FOUND DATA'!L57</f>
        <v>0.05</v>
      </c>
    </row>
    <row r="55">
      <c r="A55" s="36">
        <f>'FOUND DATA'!B58</f>
        <v>12</v>
      </c>
      <c r="B55" s="35">
        <f>'FOUND DATA'!C58</f>
        <v>0.2</v>
      </c>
      <c r="C55" s="36">
        <f>'FOUND DATA'!D58</f>
        <v>0</v>
      </c>
      <c r="D55" s="35">
        <f>'FOUND DATA'!E58</f>
        <v>0</v>
      </c>
      <c r="E55" s="36">
        <f>'FOUND DATA'!F58</f>
        <v>1</v>
      </c>
      <c r="F55" s="35">
        <f>'FOUND DATA'!G58</f>
        <v>0.4</v>
      </c>
      <c r="G55" s="36">
        <f>'FOUND DATA'!H58</f>
        <v>2</v>
      </c>
      <c r="H55" s="35">
        <f>'FOUND DATA'!I58</f>
        <v>0.4</v>
      </c>
      <c r="I55" s="36">
        <f>'FOUND DATA'!J58</f>
        <v>0</v>
      </c>
      <c r="J55" s="35">
        <f>'FOUND DATA'!K58</f>
        <v>0</v>
      </c>
      <c r="K55" s="35">
        <f>'FOUND DATA'!L58</f>
        <v>0</v>
      </c>
    </row>
    <row r="56">
      <c r="A56" s="36">
        <f>'FOUND DATA'!B59</f>
        <v>9</v>
      </c>
      <c r="B56" s="35">
        <f>'FOUND DATA'!C59</f>
        <v>0.1</v>
      </c>
      <c r="C56" s="36">
        <f>'FOUND DATA'!D59</f>
        <v>0</v>
      </c>
      <c r="D56" s="35">
        <f>'FOUND DATA'!E59</f>
        <v>0</v>
      </c>
      <c r="E56" s="36">
        <f>'FOUND DATA'!F59</f>
        <v>1</v>
      </c>
      <c r="F56" s="35">
        <f>'FOUND DATA'!G59</f>
        <v>0.4</v>
      </c>
      <c r="G56" s="36">
        <f>'FOUND DATA'!H59</f>
        <v>2</v>
      </c>
      <c r="H56" s="35">
        <f>'FOUND DATA'!I59</f>
        <v>0.5</v>
      </c>
      <c r="I56" s="36">
        <f>'FOUND DATA'!J59</f>
        <v>0</v>
      </c>
      <c r="J56" s="35">
        <f>'FOUND DATA'!K59</f>
        <v>0</v>
      </c>
      <c r="K56" s="35">
        <f>'FOUND DATA'!L59</f>
        <v>0</v>
      </c>
    </row>
    <row r="57">
      <c r="A57" s="36">
        <f>'FOUND DATA'!B60</f>
        <v>9</v>
      </c>
      <c r="B57" s="35">
        <f>'FOUND DATA'!C60</f>
        <v>0.1</v>
      </c>
      <c r="C57" s="36">
        <f>'FOUND DATA'!D60</f>
        <v>0</v>
      </c>
      <c r="D57" s="35">
        <f>'FOUND DATA'!E60</f>
        <v>0</v>
      </c>
      <c r="E57" s="36">
        <f>'FOUND DATA'!F60</f>
        <v>1</v>
      </c>
      <c r="F57" s="35">
        <f>'FOUND DATA'!G60</f>
        <v>0.4</v>
      </c>
      <c r="G57" s="36">
        <f>'FOUND DATA'!H60</f>
        <v>2</v>
      </c>
      <c r="H57" s="35">
        <f>'FOUND DATA'!I60</f>
        <v>0.5</v>
      </c>
      <c r="I57" s="36">
        <f>'FOUND DATA'!J60</f>
        <v>0</v>
      </c>
      <c r="J57" s="35">
        <f>'FOUND DATA'!K60</f>
        <v>0</v>
      </c>
      <c r="K57" s="35">
        <f>'FOUND DATA'!L60</f>
        <v>0</v>
      </c>
    </row>
    <row r="58">
      <c r="A58" s="36">
        <f>'FOUND DATA'!B61</f>
        <v>7</v>
      </c>
      <c r="B58" s="35">
        <f>'FOUND DATA'!C61</f>
        <v>0.1</v>
      </c>
      <c r="C58" s="36">
        <f>'FOUND DATA'!D61</f>
        <v>0</v>
      </c>
      <c r="D58" s="35">
        <f>'FOUND DATA'!E61</f>
        <v>0</v>
      </c>
      <c r="E58" s="36">
        <f>'FOUND DATA'!F61</f>
        <v>1</v>
      </c>
      <c r="F58" s="35">
        <f>'FOUND DATA'!G61</f>
        <v>0.3</v>
      </c>
      <c r="G58" s="36">
        <f>'FOUND DATA'!H61</f>
        <v>2</v>
      </c>
      <c r="H58" s="35">
        <f>'FOUND DATA'!I61</f>
        <v>0.5</v>
      </c>
      <c r="I58" s="36">
        <f>'FOUND DATA'!J61</f>
        <v>5</v>
      </c>
      <c r="J58" s="35">
        <f>'FOUND DATA'!K61</f>
        <v>0.1</v>
      </c>
      <c r="K58" s="35">
        <f>'FOUND DATA'!L61</f>
        <v>0</v>
      </c>
    </row>
    <row r="59">
      <c r="A59" s="36">
        <f>'FOUND DATA'!B62</f>
        <v>10</v>
      </c>
      <c r="B59" s="35">
        <f>'FOUND DATA'!C62</f>
        <v>0.2</v>
      </c>
      <c r="C59" s="36">
        <f>'FOUND DATA'!D62</f>
        <v>1</v>
      </c>
      <c r="D59" s="35">
        <f>'FOUND DATA'!E62</f>
        <v>0.1</v>
      </c>
      <c r="E59" s="36">
        <f>'FOUND DATA'!F62</f>
        <v>1</v>
      </c>
      <c r="F59" s="35">
        <f>'FOUND DATA'!G62</f>
        <v>0.3</v>
      </c>
      <c r="G59" s="36">
        <f>'FOUND DATA'!H62</f>
        <v>2</v>
      </c>
      <c r="H59" s="35">
        <f>'FOUND DATA'!I62</f>
        <v>0.35</v>
      </c>
      <c r="I59" s="36">
        <f>'FOUND DATA'!J62</f>
        <v>0</v>
      </c>
      <c r="J59" s="35">
        <f>'FOUND DATA'!K62</f>
        <v>0</v>
      </c>
      <c r="K59" s="35">
        <f>'FOUND DATA'!L62</f>
        <v>0.05</v>
      </c>
    </row>
    <row r="60">
      <c r="A60" s="36">
        <f>'FOUND DATA'!B63</f>
        <v>10</v>
      </c>
      <c r="B60" s="35">
        <f>'FOUND DATA'!C63</f>
        <v>0.2</v>
      </c>
      <c r="C60" s="36">
        <f>'FOUND DATA'!D63</f>
        <v>1</v>
      </c>
      <c r="D60" s="35">
        <f>'FOUND DATA'!E63</f>
        <v>0.1</v>
      </c>
      <c r="E60" s="36">
        <f>'FOUND DATA'!F63</f>
        <v>1</v>
      </c>
      <c r="F60" s="35">
        <f>'FOUND DATA'!G63</f>
        <v>0.3</v>
      </c>
      <c r="G60" s="36">
        <f>'FOUND DATA'!H63</f>
        <v>2</v>
      </c>
      <c r="H60" s="35">
        <f>'FOUND DATA'!I63</f>
        <v>0.35</v>
      </c>
      <c r="I60" s="36">
        <f>'FOUND DATA'!J63</f>
        <v>0</v>
      </c>
      <c r="J60" s="35">
        <f>'FOUND DATA'!K63</f>
        <v>0</v>
      </c>
      <c r="K60" s="35">
        <f>'FOUND DATA'!L63</f>
        <v>0.05</v>
      </c>
    </row>
    <row r="61">
      <c r="A61" s="36">
        <f>'FOUND DATA'!B64</f>
        <v>9</v>
      </c>
      <c r="B61" s="35">
        <f>'FOUND DATA'!C64</f>
        <v>0.075</v>
      </c>
      <c r="C61" s="36">
        <f>'FOUND DATA'!D64</f>
        <v>1</v>
      </c>
      <c r="D61" s="35">
        <f>'FOUND DATA'!E64</f>
        <v>0.4</v>
      </c>
      <c r="E61" s="36">
        <f>'FOUND DATA'!F64</f>
        <v>0</v>
      </c>
      <c r="F61" s="35">
        <f>'FOUND DATA'!G64</f>
        <v>0</v>
      </c>
      <c r="G61" s="36">
        <f>'FOUND DATA'!H64</f>
        <v>2</v>
      </c>
      <c r="H61" s="35">
        <f>'FOUND DATA'!I64</f>
        <v>0.45</v>
      </c>
      <c r="I61" s="36">
        <f>'FOUND DATA'!J64</f>
        <v>12</v>
      </c>
      <c r="J61" s="35">
        <f>'FOUND DATA'!K64</f>
        <v>0.075</v>
      </c>
      <c r="K61" s="35">
        <f>'FOUND DATA'!L64</f>
        <v>0</v>
      </c>
    </row>
    <row r="62">
      <c r="A62" s="36">
        <f>'FOUND DATA'!B65</f>
        <v>13</v>
      </c>
      <c r="B62" s="35">
        <f>'FOUND DATA'!C65</f>
        <v>0.2</v>
      </c>
      <c r="C62" s="36">
        <f>'FOUND DATA'!D65</f>
        <v>0</v>
      </c>
      <c r="D62" s="35">
        <f>'FOUND DATA'!E65</f>
        <v>0</v>
      </c>
      <c r="E62" s="36">
        <f>'FOUND DATA'!F65</f>
        <v>1</v>
      </c>
      <c r="F62" s="35">
        <f>'FOUND DATA'!G65</f>
        <v>0.35</v>
      </c>
      <c r="G62" s="36">
        <f>'FOUND DATA'!H65</f>
        <v>3</v>
      </c>
      <c r="H62" s="35">
        <f>'FOUND DATA'!I65</f>
        <v>0.45</v>
      </c>
      <c r="I62" s="36">
        <f>'FOUND DATA'!J65</f>
        <v>0</v>
      </c>
      <c r="J62" s="35">
        <f>'FOUND DATA'!K65</f>
        <v>0</v>
      </c>
      <c r="K62" s="35">
        <f>'FOUND DATA'!L65</f>
        <v>0</v>
      </c>
    </row>
    <row r="63">
      <c r="A63" s="36">
        <f>'FOUND DATA'!B66</f>
        <v>0</v>
      </c>
      <c r="B63" s="35">
        <f>'FOUND DATA'!C66</f>
        <v>0</v>
      </c>
      <c r="C63" s="36">
        <f>'FOUND DATA'!D66</f>
        <v>0</v>
      </c>
      <c r="D63" s="35">
        <f>'FOUND DATA'!E66</f>
        <v>0</v>
      </c>
      <c r="E63" s="36">
        <f>'FOUND DATA'!F66</f>
        <v>1</v>
      </c>
      <c r="F63" s="35">
        <f>'FOUND DATA'!G66</f>
        <v>0.3</v>
      </c>
      <c r="G63" s="36">
        <f>'FOUND DATA'!H66</f>
        <v>2</v>
      </c>
      <c r="H63" s="35">
        <f>'FOUND DATA'!I66</f>
        <v>0.5</v>
      </c>
      <c r="I63" s="36">
        <f>'FOUND DATA'!J66</f>
        <v>12</v>
      </c>
      <c r="J63" s="35">
        <f>'FOUND DATA'!K66</f>
        <v>0.2</v>
      </c>
      <c r="K63" s="35">
        <f>'FOUND DATA'!L66</f>
        <v>0</v>
      </c>
    </row>
    <row r="64">
      <c r="A64" s="36">
        <f>'FOUND DATA'!B67</f>
        <v>0</v>
      </c>
      <c r="B64" s="35">
        <f>'FOUND DATA'!C67</f>
        <v>0</v>
      </c>
      <c r="C64" s="36">
        <f>'FOUND DATA'!D67</f>
        <v>0</v>
      </c>
      <c r="D64" s="35">
        <f>'FOUND DATA'!E67</f>
        <v>0</v>
      </c>
      <c r="E64" s="36">
        <f>'FOUND DATA'!F67</f>
        <v>1</v>
      </c>
      <c r="F64" s="35">
        <f>'FOUND DATA'!G67</f>
        <v>0.35</v>
      </c>
      <c r="G64" s="36">
        <f>'FOUND DATA'!H67</f>
        <v>2</v>
      </c>
      <c r="H64" s="35">
        <f>'FOUND DATA'!I67</f>
        <v>0.5</v>
      </c>
      <c r="I64" s="36">
        <f>'FOUND DATA'!J67</f>
        <v>12</v>
      </c>
      <c r="J64" s="35">
        <f>'FOUND DATA'!K67</f>
        <v>0.15</v>
      </c>
      <c r="K64" s="35">
        <f>'FOUND DATA'!L67</f>
        <v>0</v>
      </c>
    </row>
    <row r="65">
      <c r="A65" s="36">
        <f>'FOUND DATA'!B68</f>
        <v>11</v>
      </c>
      <c r="B65" s="35">
        <f>'FOUND DATA'!C68</f>
        <v>0.1</v>
      </c>
      <c r="C65" s="36">
        <f>'FOUND DATA'!D68</f>
        <v>0</v>
      </c>
      <c r="D65" s="35">
        <f>'FOUND DATA'!E68</f>
        <v>0</v>
      </c>
      <c r="E65" s="36">
        <f>'FOUND DATA'!F68</f>
        <v>1</v>
      </c>
      <c r="F65" s="35">
        <f>'FOUND DATA'!G68</f>
        <v>0.3</v>
      </c>
      <c r="G65" s="36">
        <f>'FOUND DATA'!H68</f>
        <v>3</v>
      </c>
      <c r="H65" s="35">
        <f>'FOUND DATA'!I68</f>
        <v>0.5</v>
      </c>
      <c r="I65" s="36">
        <f>'FOUND DATA'!J68</f>
        <v>9</v>
      </c>
      <c r="J65" s="35">
        <f>'FOUND DATA'!K68</f>
        <v>0.1</v>
      </c>
      <c r="K65" s="35">
        <f>'FOUND DATA'!L68</f>
        <v>0</v>
      </c>
    </row>
    <row r="66">
      <c r="A66" s="36">
        <f>'FOUND DATA'!B69</f>
        <v>10</v>
      </c>
      <c r="B66" s="35">
        <f>'FOUND DATA'!C69</f>
        <v>0.15</v>
      </c>
      <c r="C66" s="36">
        <f>'FOUND DATA'!D69</f>
        <v>0</v>
      </c>
      <c r="D66" s="35">
        <f>'FOUND DATA'!E69</f>
        <v>0</v>
      </c>
      <c r="E66" s="36">
        <f>'FOUND DATA'!F69</f>
        <v>1</v>
      </c>
      <c r="F66" s="35">
        <f>'FOUND DATA'!G69</f>
        <v>0.3</v>
      </c>
      <c r="G66" s="36">
        <f>'FOUND DATA'!H69</f>
        <v>2</v>
      </c>
      <c r="H66" s="35">
        <f>'FOUND DATA'!I69</f>
        <v>0.4</v>
      </c>
      <c r="I66" s="36">
        <f>'FOUND DATA'!J69</f>
        <v>0</v>
      </c>
      <c r="J66" s="35">
        <f>'FOUND DATA'!K69</f>
        <v>0</v>
      </c>
      <c r="K66" s="35">
        <f>'FOUND DATA'!L69</f>
        <v>0.15</v>
      </c>
    </row>
    <row r="67">
      <c r="A67" s="36">
        <f>'FOUND DATA'!B70</f>
        <v>12</v>
      </c>
      <c r="B67" s="35">
        <f>'FOUND DATA'!C70</f>
        <v>0.15</v>
      </c>
      <c r="C67" s="36">
        <f>'FOUND DATA'!D70</f>
        <v>0</v>
      </c>
      <c r="D67" s="35">
        <f>'FOUND DATA'!E70</f>
        <v>0</v>
      </c>
      <c r="E67" s="36">
        <f>'FOUND DATA'!F70</f>
        <v>1</v>
      </c>
      <c r="F67" s="35">
        <f>'FOUND DATA'!G70</f>
        <v>0.35</v>
      </c>
      <c r="G67" s="36">
        <f>'FOUND DATA'!H70</f>
        <v>2</v>
      </c>
      <c r="H67" s="35">
        <f>'FOUND DATA'!I70</f>
        <v>0.5</v>
      </c>
      <c r="I67" s="36">
        <f>'FOUND DATA'!J70</f>
        <v>0</v>
      </c>
      <c r="J67" s="35">
        <f>'FOUND DATA'!K70</f>
        <v>0</v>
      </c>
      <c r="K67" s="35">
        <f>'FOUND DATA'!L70</f>
        <v>0</v>
      </c>
    </row>
    <row r="68">
      <c r="A68" s="36">
        <f>'FOUND DATA'!B71</f>
        <v>0</v>
      </c>
      <c r="B68" s="35">
        <f>'FOUND DATA'!C71</f>
        <v>0</v>
      </c>
      <c r="C68" s="36">
        <f>'FOUND DATA'!D71</f>
        <v>0</v>
      </c>
      <c r="D68" s="35">
        <f>'FOUND DATA'!E71</f>
        <v>0</v>
      </c>
      <c r="E68" s="36">
        <f>'FOUND DATA'!F71</f>
        <v>1</v>
      </c>
      <c r="F68" s="35">
        <f>'FOUND DATA'!G71</f>
        <v>0.3</v>
      </c>
      <c r="G68" s="36">
        <f>'FOUND DATA'!H71</f>
        <v>2</v>
      </c>
      <c r="H68" s="35">
        <f>'FOUND DATA'!I71</f>
        <v>0.5</v>
      </c>
      <c r="I68" s="36">
        <f>'FOUND DATA'!J71</f>
        <v>10</v>
      </c>
      <c r="J68" s="35">
        <f>'FOUND DATA'!K71</f>
        <v>0.1</v>
      </c>
      <c r="K68" s="35">
        <f>'FOUND DATA'!L71</f>
        <v>0.1</v>
      </c>
    </row>
    <row r="69">
      <c r="A69" s="36">
        <f>'FOUND DATA'!B72</f>
        <v>12</v>
      </c>
      <c r="B69" s="35">
        <f>'FOUND DATA'!C72</f>
        <v>0.1</v>
      </c>
      <c r="C69" s="36">
        <f>'FOUND DATA'!D72</f>
        <v>3</v>
      </c>
      <c r="D69" s="35">
        <f>'FOUND DATA'!E72</f>
        <v>0.15</v>
      </c>
      <c r="E69" s="36">
        <f>'FOUND DATA'!F72</f>
        <v>1</v>
      </c>
      <c r="F69" s="35">
        <f>'FOUND DATA'!G72</f>
        <v>0.25</v>
      </c>
      <c r="G69" s="36">
        <f>'FOUND DATA'!H72</f>
        <v>2</v>
      </c>
      <c r="H69" s="35">
        <f>'FOUND DATA'!I72</f>
        <v>0.4</v>
      </c>
      <c r="I69" s="36">
        <f>'FOUND DATA'!J72</f>
        <v>12</v>
      </c>
      <c r="J69" s="35">
        <f>'FOUND DATA'!K72</f>
        <v>0.05</v>
      </c>
      <c r="K69" s="35">
        <f>'FOUND DATA'!L72</f>
        <v>0.05</v>
      </c>
    </row>
    <row r="70">
      <c r="A70" s="36">
        <f>'FOUND DATA'!B73</f>
        <v>12</v>
      </c>
      <c r="B70" s="35">
        <f>'FOUND DATA'!C73</f>
        <v>0.2</v>
      </c>
      <c r="C70" s="36">
        <f>'FOUND DATA'!D73</f>
        <v>0</v>
      </c>
      <c r="D70" s="35">
        <f>'FOUND DATA'!E73</f>
        <v>0</v>
      </c>
      <c r="E70" s="36">
        <f>'FOUND DATA'!F73</f>
        <v>1</v>
      </c>
      <c r="F70" s="35">
        <f>'FOUND DATA'!G73</f>
        <v>0.35</v>
      </c>
      <c r="G70" s="36">
        <f>'FOUND DATA'!H73</f>
        <v>3</v>
      </c>
      <c r="H70" s="35">
        <f>'FOUND DATA'!I73</f>
        <v>0.45</v>
      </c>
      <c r="I70" s="36">
        <f>'FOUND DATA'!J73</f>
        <v>0</v>
      </c>
      <c r="J70" s="35">
        <f>'FOUND DATA'!K73</f>
        <v>0</v>
      </c>
      <c r="K70" s="35">
        <f>'FOUND DATA'!L73</f>
        <v>0</v>
      </c>
    </row>
    <row r="71">
      <c r="A71" s="36">
        <f>'FOUND DATA'!B74</f>
        <v>0</v>
      </c>
      <c r="B71" s="35">
        <f>'FOUND DATA'!C74</f>
        <v>0</v>
      </c>
      <c r="C71" s="36">
        <f>'FOUND DATA'!D74</f>
        <v>0</v>
      </c>
      <c r="D71" s="35">
        <f>'FOUND DATA'!E74</f>
        <v>0</v>
      </c>
      <c r="E71" s="36">
        <f>'FOUND DATA'!F74</f>
        <v>1</v>
      </c>
      <c r="F71" s="35">
        <f>'FOUND DATA'!G74</f>
        <v>0.3</v>
      </c>
      <c r="G71" s="36">
        <f>'FOUND DATA'!H74</f>
        <v>2</v>
      </c>
      <c r="H71" s="35">
        <f>'FOUND DATA'!I74</f>
        <v>0.5</v>
      </c>
      <c r="I71" s="36">
        <f>'FOUND DATA'!J74</f>
        <v>12</v>
      </c>
      <c r="J71" s="35">
        <f>'FOUND DATA'!K74</f>
        <v>0.2</v>
      </c>
      <c r="K71" s="35">
        <f>'FOUND DATA'!L74</f>
        <v>0</v>
      </c>
    </row>
    <row r="72">
      <c r="A72" s="36">
        <f>'FOUND DATA'!B75</f>
        <v>11</v>
      </c>
      <c r="B72" s="35">
        <f>'FOUND DATA'!C75</f>
        <v>0.1</v>
      </c>
      <c r="C72" s="36">
        <f>'FOUND DATA'!D75</f>
        <v>0</v>
      </c>
      <c r="D72" s="35">
        <f>'FOUND DATA'!E75</f>
        <v>0</v>
      </c>
      <c r="E72" s="36">
        <f>'FOUND DATA'!F75</f>
        <v>1</v>
      </c>
      <c r="F72" s="35">
        <f>'FOUND DATA'!G75</f>
        <v>0.3</v>
      </c>
      <c r="G72" s="36">
        <f>'FOUND DATA'!H75</f>
        <v>3</v>
      </c>
      <c r="H72" s="35">
        <f>'FOUND DATA'!I75</f>
        <v>0.5</v>
      </c>
      <c r="I72" s="36">
        <f>'FOUND DATA'!J75</f>
        <v>9</v>
      </c>
      <c r="J72" s="35">
        <f>'FOUND DATA'!K75</f>
        <v>0.1</v>
      </c>
      <c r="K72" s="35">
        <f>'FOUND DATA'!L75</f>
        <v>0</v>
      </c>
    </row>
    <row r="73">
      <c r="A73" s="36">
        <f>'FOUND DATA'!B76</f>
        <v>21</v>
      </c>
      <c r="B73" s="35">
        <f>'FOUND DATA'!C76</f>
        <v>0.4</v>
      </c>
      <c r="C73" s="36">
        <f>'FOUND DATA'!D76</f>
        <v>0</v>
      </c>
      <c r="D73" s="35">
        <f>'FOUND DATA'!E76</f>
        <v>0</v>
      </c>
      <c r="E73" s="36">
        <f>'FOUND DATA'!F76</f>
        <v>0</v>
      </c>
      <c r="F73" s="35">
        <f>'FOUND DATA'!G76</f>
        <v>0</v>
      </c>
      <c r="G73" s="36">
        <f>'FOUND DATA'!H76</f>
        <v>3</v>
      </c>
      <c r="H73" s="35">
        <f>'FOUND DATA'!I76</f>
        <v>0.55</v>
      </c>
      <c r="I73" s="36">
        <f>'FOUND DATA'!J76</f>
        <v>0</v>
      </c>
      <c r="J73" s="35">
        <f>'FOUND DATA'!K76</f>
        <v>0</v>
      </c>
      <c r="K73" s="35">
        <f>'FOUND DATA'!L76</f>
        <v>0.05</v>
      </c>
    </row>
    <row r="74">
      <c r="A74" s="36">
        <f>'FOUND DATA'!B77</f>
        <v>9</v>
      </c>
      <c r="B74" s="35">
        <f>'FOUND DATA'!C77</f>
        <v>0.1</v>
      </c>
      <c r="C74" s="36">
        <f>'FOUND DATA'!D77</f>
        <v>0</v>
      </c>
      <c r="D74" s="35">
        <f>'FOUND DATA'!E77</f>
        <v>0</v>
      </c>
      <c r="E74" s="36">
        <f>'FOUND DATA'!F77</f>
        <v>1</v>
      </c>
      <c r="F74" s="35">
        <f>'FOUND DATA'!G77</f>
        <v>0.4</v>
      </c>
      <c r="G74" s="36">
        <f>'FOUND DATA'!H77</f>
        <v>2</v>
      </c>
      <c r="H74" s="35">
        <f>'FOUND DATA'!I77</f>
        <v>0.45</v>
      </c>
      <c r="I74" s="36">
        <f>'FOUND DATA'!J77</f>
        <v>0</v>
      </c>
      <c r="J74" s="35">
        <f>'FOUND DATA'!K77</f>
        <v>0</v>
      </c>
      <c r="K74" s="35">
        <f>'FOUND DATA'!L77</f>
        <v>0.05</v>
      </c>
    </row>
    <row r="75">
      <c r="A75" s="36">
        <f>'FOUND DATA'!B78</f>
        <v>12</v>
      </c>
      <c r="B75" s="35">
        <f>'FOUND DATA'!C78</f>
        <v>0.1</v>
      </c>
      <c r="C75" s="36">
        <f>'FOUND DATA'!D78</f>
        <v>3</v>
      </c>
      <c r="D75" s="35">
        <f>'FOUND DATA'!E78</f>
        <v>0.15</v>
      </c>
      <c r="E75" s="36">
        <f>'FOUND DATA'!F78</f>
        <v>1</v>
      </c>
      <c r="F75" s="35">
        <f>'FOUND DATA'!G78</f>
        <v>0.25</v>
      </c>
      <c r="G75" s="36">
        <f>'FOUND DATA'!H78</f>
        <v>2</v>
      </c>
      <c r="H75" s="35">
        <f>'FOUND DATA'!I78</f>
        <v>0.4</v>
      </c>
      <c r="I75" s="36">
        <f>'FOUND DATA'!J78</f>
        <v>12</v>
      </c>
      <c r="J75" s="35">
        <f>'FOUND DATA'!K78</f>
        <v>0.05</v>
      </c>
      <c r="K75" s="35">
        <f>'FOUND DATA'!L78</f>
        <v>0.05</v>
      </c>
    </row>
    <row r="76">
      <c r="A76" s="36">
        <f>'FOUND DATA'!B79</f>
        <v>21</v>
      </c>
      <c r="B76" s="35">
        <f>'FOUND DATA'!C79</f>
        <v>0.4</v>
      </c>
      <c r="C76" s="36">
        <f>'FOUND DATA'!D79</f>
        <v>0</v>
      </c>
      <c r="D76" s="35">
        <f>'FOUND DATA'!E79</f>
        <v>0</v>
      </c>
      <c r="E76" s="36">
        <f>'FOUND DATA'!F79</f>
        <v>0</v>
      </c>
      <c r="F76" s="35">
        <f>'FOUND DATA'!G79</f>
        <v>0</v>
      </c>
      <c r="G76" s="36">
        <f>'FOUND DATA'!H79</f>
        <v>3</v>
      </c>
      <c r="H76" s="35">
        <f>'FOUND DATA'!I79</f>
        <v>0.55</v>
      </c>
      <c r="I76" s="36">
        <f>'FOUND DATA'!J79</f>
        <v>0</v>
      </c>
      <c r="J76" s="35">
        <f>'FOUND DATA'!K79</f>
        <v>0</v>
      </c>
      <c r="K76" s="35">
        <f>'FOUND DATA'!L79</f>
        <v>0.05</v>
      </c>
    </row>
    <row r="77">
      <c r="A77" s="36">
        <f>'FOUND DATA'!B80</f>
        <v>12</v>
      </c>
      <c r="B77" s="35">
        <f>'FOUND DATA'!C80</f>
        <v>0.15</v>
      </c>
      <c r="C77" s="36">
        <f>'FOUND DATA'!D80</f>
        <v>0</v>
      </c>
      <c r="D77" s="35">
        <f>'FOUND DATA'!E80</f>
        <v>0</v>
      </c>
      <c r="E77" s="36">
        <f>'FOUND DATA'!F80</f>
        <v>1</v>
      </c>
      <c r="F77" s="35">
        <f>'FOUND DATA'!G80</f>
        <v>0.35</v>
      </c>
      <c r="G77" s="36">
        <f>'FOUND DATA'!H80</f>
        <v>3</v>
      </c>
      <c r="H77" s="35">
        <f>'FOUND DATA'!I80</f>
        <v>0.45</v>
      </c>
      <c r="I77" s="36">
        <f>'FOUND DATA'!J80</f>
        <v>0</v>
      </c>
      <c r="J77" s="35">
        <f>'FOUND DATA'!K80</f>
        <v>0</v>
      </c>
      <c r="K77" s="35">
        <f>'FOUND DATA'!L80</f>
        <v>0.05</v>
      </c>
    </row>
    <row r="78">
      <c r="A78" s="36">
        <f>'FOUND DATA'!B81</f>
        <v>10</v>
      </c>
      <c r="B78" s="35">
        <f>'FOUND DATA'!C81</f>
        <v>0.15</v>
      </c>
      <c r="C78" s="36">
        <f>'FOUND DATA'!D81</f>
        <v>0</v>
      </c>
      <c r="D78" s="35">
        <f>'FOUND DATA'!E81</f>
        <v>0</v>
      </c>
      <c r="E78" s="36">
        <f>'FOUND DATA'!F81</f>
        <v>1</v>
      </c>
      <c r="F78" s="35">
        <f>'FOUND DATA'!G81</f>
        <v>0.3</v>
      </c>
      <c r="G78" s="36">
        <f>'FOUND DATA'!H81</f>
        <v>2</v>
      </c>
      <c r="H78" s="35">
        <f>'FOUND DATA'!I81</f>
        <v>0.4</v>
      </c>
      <c r="I78" s="36">
        <f>'FOUND DATA'!J81</f>
        <v>3</v>
      </c>
      <c r="J78" s="35">
        <f>'FOUND DATA'!K81</f>
        <v>0.15</v>
      </c>
      <c r="K78" s="35">
        <f>'FOUND DATA'!L81</f>
        <v>0</v>
      </c>
    </row>
    <row r="79">
      <c r="A79" s="36">
        <f>'FOUND DATA'!B82</f>
        <v>10</v>
      </c>
      <c r="B79" s="35">
        <f>'FOUND DATA'!C82</f>
        <v>0.1</v>
      </c>
      <c r="C79" s="36">
        <f>'FOUND DATA'!D82</f>
        <v>0</v>
      </c>
      <c r="D79" s="35">
        <f>'FOUND DATA'!E82</f>
        <v>0</v>
      </c>
      <c r="E79" s="36">
        <f>'FOUND DATA'!F82</f>
        <v>1</v>
      </c>
      <c r="F79" s="35">
        <f>'FOUND DATA'!G82</f>
        <v>0.35</v>
      </c>
      <c r="G79" s="36">
        <f>'FOUND DATA'!H82</f>
        <v>2</v>
      </c>
      <c r="H79" s="35">
        <f>'FOUND DATA'!I82</f>
        <v>0.4</v>
      </c>
      <c r="I79" s="36">
        <f>'FOUND DATA'!J82</f>
        <v>4</v>
      </c>
      <c r="J79" s="35">
        <f>'FOUND DATA'!K82</f>
        <v>0.1</v>
      </c>
      <c r="K79" s="35">
        <f>'FOUND DATA'!L82</f>
        <v>0.05</v>
      </c>
    </row>
    <row r="80">
      <c r="A80" s="36">
        <f>'FOUND DATA'!B83</f>
        <v>38</v>
      </c>
      <c r="B80" s="35">
        <f>'FOUND DATA'!C83</f>
        <v>0.49</v>
      </c>
      <c r="C80" s="36">
        <f>'FOUND DATA'!D83</f>
        <v>2</v>
      </c>
      <c r="D80" s="35">
        <f>'FOUND DATA'!E83</f>
        <v>0.51</v>
      </c>
      <c r="E80" s="36">
        <f>'FOUND DATA'!F83</f>
        <v>0</v>
      </c>
      <c r="F80" s="35">
        <f>'FOUND DATA'!G83</f>
        <v>0</v>
      </c>
      <c r="G80" s="36">
        <f>'FOUND DATA'!H83</f>
        <v>0</v>
      </c>
      <c r="H80" s="35">
        <f>'FOUND DATA'!I83</f>
        <v>0</v>
      </c>
      <c r="I80" s="36">
        <f>'FOUND DATA'!J83</f>
        <v>0</v>
      </c>
      <c r="J80" s="35">
        <f>'FOUND DATA'!K83</f>
        <v>0</v>
      </c>
      <c r="K80" s="35">
        <f>'FOUND DATA'!L83</f>
        <v>0</v>
      </c>
    </row>
    <row r="81">
      <c r="A81" s="36">
        <f>'FOUND DATA'!B84</f>
        <v>6</v>
      </c>
      <c r="B81" s="35">
        <f>'FOUND DATA'!C84</f>
        <v>0.15</v>
      </c>
      <c r="C81" s="36">
        <f>'FOUND DATA'!D84</f>
        <v>2</v>
      </c>
      <c r="D81" s="35">
        <f>'FOUND DATA'!E84</f>
        <v>0.25</v>
      </c>
      <c r="E81" s="36">
        <f>'FOUND DATA'!F84</f>
        <v>0</v>
      </c>
      <c r="F81" s="35">
        <f>'FOUND DATA'!G84</f>
        <v>0</v>
      </c>
      <c r="G81" s="36">
        <f>'FOUND DATA'!H84</f>
        <v>3</v>
      </c>
      <c r="H81" s="35">
        <f>'FOUND DATA'!I84</f>
        <v>0.6</v>
      </c>
      <c r="I81" s="36">
        <f>'FOUND DATA'!J84</f>
        <v>0</v>
      </c>
      <c r="J81" s="35">
        <f>'FOUND DATA'!K84</f>
        <v>0</v>
      </c>
      <c r="K81" s="35">
        <f>'FOUND DATA'!L84</f>
        <v>0</v>
      </c>
    </row>
    <row r="82">
      <c r="A82" s="36">
        <f>'FOUND DATA'!B85</f>
        <v>5</v>
      </c>
      <c r="B82" s="35">
        <f>'FOUND DATA'!C85</f>
        <v>0.3</v>
      </c>
      <c r="C82" s="36">
        <f>'FOUND DATA'!D85</f>
        <v>4</v>
      </c>
      <c r="D82" s="35">
        <f>'FOUND DATA'!E85</f>
        <v>0.45</v>
      </c>
      <c r="E82" s="36">
        <f>'FOUND DATA'!F85</f>
        <v>0</v>
      </c>
      <c r="F82" s="35">
        <f>'FOUND DATA'!G85</f>
        <v>0</v>
      </c>
      <c r="G82" s="36">
        <f>'FOUND DATA'!H85</f>
        <v>0</v>
      </c>
      <c r="H82" s="35">
        <f>'FOUND DATA'!I85</f>
        <v>0</v>
      </c>
      <c r="I82" s="36">
        <f>'FOUND DATA'!J85</f>
        <v>4</v>
      </c>
      <c r="J82" s="35">
        <f>'FOUND DATA'!K85</f>
        <v>0.15</v>
      </c>
      <c r="K82" s="35">
        <f>'FOUND DATA'!L85</f>
        <v>0.1</v>
      </c>
    </row>
    <row r="83">
      <c r="A83" s="36">
        <f>'FOUND DATA'!B86</f>
        <v>0</v>
      </c>
      <c r="B83" s="35">
        <f>'FOUND DATA'!C86</f>
        <v>0</v>
      </c>
      <c r="C83" s="36">
        <f>'FOUND DATA'!D86</f>
        <v>3</v>
      </c>
      <c r="D83" s="35">
        <f>'FOUND DATA'!E86</f>
        <v>1</v>
      </c>
      <c r="E83" s="36">
        <f>'FOUND DATA'!F86</f>
        <v>0</v>
      </c>
      <c r="F83" s="35">
        <f>'FOUND DATA'!G86</f>
        <v>0</v>
      </c>
      <c r="G83" s="36">
        <f>'FOUND DATA'!H86</f>
        <v>0</v>
      </c>
      <c r="H83" s="35">
        <f>'FOUND DATA'!I86</f>
        <v>0</v>
      </c>
      <c r="I83" s="36">
        <f>'FOUND DATA'!J86</f>
        <v>0</v>
      </c>
      <c r="J83" s="35">
        <f>'FOUND DATA'!K86</f>
        <v>0</v>
      </c>
      <c r="K83" s="35">
        <f>'FOUND DATA'!L86</f>
        <v>0</v>
      </c>
    </row>
    <row r="84">
      <c r="A84" s="36">
        <f>'FOUND DATA'!B87</f>
        <v>12</v>
      </c>
      <c r="B84" s="35">
        <f>'FOUND DATA'!C87</f>
        <v>0.2</v>
      </c>
      <c r="C84" s="36">
        <f>'FOUND DATA'!D87</f>
        <v>1</v>
      </c>
      <c r="D84" s="35">
        <f>'FOUND DATA'!E87</f>
        <v>0.35</v>
      </c>
      <c r="E84" s="36">
        <f>'FOUND DATA'!F87</f>
        <v>0</v>
      </c>
      <c r="F84" s="35">
        <f>'FOUND DATA'!G87</f>
        <v>0</v>
      </c>
      <c r="G84" s="36">
        <f>'FOUND DATA'!H87</f>
        <v>0</v>
      </c>
      <c r="H84" s="35">
        <f>'FOUND DATA'!I87</f>
        <v>0</v>
      </c>
      <c r="I84" s="36">
        <f>'FOUND DATA'!J87</f>
        <v>2</v>
      </c>
      <c r="J84" s="35">
        <f>'FOUND DATA'!K87</f>
        <v>0.4</v>
      </c>
      <c r="K84" s="35">
        <f>'FOUND DATA'!L87</f>
        <v>0.05</v>
      </c>
    </row>
    <row r="85">
      <c r="A85" s="36">
        <f>'FOUND DATA'!B88</f>
        <v>4</v>
      </c>
      <c r="B85" s="35">
        <f>'FOUND DATA'!C88</f>
        <v>0.4</v>
      </c>
      <c r="C85" s="36">
        <f>'FOUND DATA'!D88</f>
        <v>1</v>
      </c>
      <c r="D85" s="35">
        <f>'FOUND DATA'!E88</f>
        <v>0.2</v>
      </c>
      <c r="E85" s="36">
        <f>'FOUND DATA'!F88</f>
        <v>0</v>
      </c>
      <c r="F85" s="35">
        <f>'FOUND DATA'!G88</f>
        <v>0</v>
      </c>
      <c r="G85" s="36">
        <f>'FOUND DATA'!H88</f>
        <v>2</v>
      </c>
      <c r="H85" s="35">
        <f>'FOUND DATA'!I88</f>
        <v>0.4</v>
      </c>
      <c r="I85" s="36">
        <f>'FOUND DATA'!J88</f>
        <v>0</v>
      </c>
      <c r="J85" s="35">
        <f>'FOUND DATA'!K88</f>
        <v>0</v>
      </c>
      <c r="K85" s="35">
        <f>'FOUND DATA'!L88</f>
        <v>0</v>
      </c>
    </row>
    <row r="86">
      <c r="A86" s="36">
        <f>'FOUND DATA'!B89</f>
        <v>12</v>
      </c>
      <c r="B86" s="35">
        <f>'FOUND DATA'!C89</f>
        <v>0.2</v>
      </c>
      <c r="C86" s="36">
        <f>'FOUND DATA'!D89</f>
        <v>1</v>
      </c>
      <c r="D86" s="35">
        <f>'FOUND DATA'!E89</f>
        <v>0.3</v>
      </c>
      <c r="E86" s="36">
        <f>'FOUND DATA'!F89</f>
        <v>0</v>
      </c>
      <c r="F86" s="35">
        <f>'FOUND DATA'!G89</f>
        <v>0</v>
      </c>
      <c r="G86" s="36">
        <f>'FOUND DATA'!H89</f>
        <v>2</v>
      </c>
      <c r="H86" s="35">
        <f>'FOUND DATA'!I89</f>
        <v>0.5</v>
      </c>
      <c r="I86" s="36">
        <f>'FOUND DATA'!J89</f>
        <v>0</v>
      </c>
      <c r="J86" s="35">
        <f>'FOUND DATA'!K89</f>
        <v>0</v>
      </c>
      <c r="K86" s="35">
        <f>'FOUND DATA'!L89</f>
        <v>0</v>
      </c>
    </row>
    <row r="87">
      <c r="A87" s="36">
        <f>'FOUND DATA'!B90</f>
        <v>12</v>
      </c>
      <c r="B87" s="35">
        <f>'FOUND DATA'!C90</f>
        <v>0.15</v>
      </c>
      <c r="C87" s="36">
        <f>'FOUND DATA'!D90</f>
        <v>0</v>
      </c>
      <c r="D87" s="35">
        <f>'FOUND DATA'!E90</f>
        <v>0</v>
      </c>
      <c r="E87" s="36">
        <f>'FOUND DATA'!F90</f>
        <v>1</v>
      </c>
      <c r="F87" s="35">
        <f>'FOUND DATA'!G90</f>
        <v>0.2</v>
      </c>
      <c r="G87" s="36">
        <f>'FOUND DATA'!H90</f>
        <v>3</v>
      </c>
      <c r="H87" s="35">
        <f>'FOUND DATA'!I90</f>
        <v>0.6</v>
      </c>
      <c r="I87" s="36">
        <f>'FOUND DATA'!J90</f>
        <v>21</v>
      </c>
      <c r="J87" s="35">
        <f>'FOUND DATA'!K90</f>
        <v>0.05</v>
      </c>
      <c r="K87" s="35">
        <f>'FOUND DATA'!L90</f>
        <v>0</v>
      </c>
    </row>
    <row r="88">
      <c r="A88" s="36">
        <f>'FOUND DATA'!B91</f>
        <v>14</v>
      </c>
      <c r="B88" s="35">
        <f>'FOUND DATA'!C91</f>
        <v>0.2</v>
      </c>
      <c r="C88" s="36">
        <f>'FOUND DATA'!D91</f>
        <v>1</v>
      </c>
      <c r="D88" s="35">
        <f>'FOUND DATA'!E91</f>
        <v>0.1</v>
      </c>
      <c r="E88" s="36">
        <f>'FOUND DATA'!F91</f>
        <v>1</v>
      </c>
      <c r="F88" s="35">
        <f>'FOUND DATA'!G91</f>
        <v>0.3</v>
      </c>
      <c r="G88" s="36">
        <f>'FOUND DATA'!H91</f>
        <v>2</v>
      </c>
      <c r="H88" s="35">
        <f>'FOUND DATA'!I91</f>
        <v>0.35</v>
      </c>
      <c r="I88" s="36">
        <f>'FOUND DATA'!J91</f>
        <v>0</v>
      </c>
      <c r="J88" s="35">
        <f>'FOUND DATA'!K91</f>
        <v>0</v>
      </c>
      <c r="K88" s="35">
        <f>'FOUND DATA'!L91</f>
        <v>0.05</v>
      </c>
    </row>
    <row r="89">
      <c r="A89" s="36">
        <f>'FOUND DATA'!B92</f>
        <v>5</v>
      </c>
      <c r="B89" s="35">
        <f>'FOUND DATA'!C92</f>
        <v>0.5</v>
      </c>
      <c r="C89" s="36">
        <f>'FOUND DATA'!D92</f>
        <v>4</v>
      </c>
      <c r="D89" s="35">
        <f>'FOUND DATA'!E92</f>
        <v>0.4</v>
      </c>
      <c r="E89" s="36">
        <f>'FOUND DATA'!F92</f>
        <v>0</v>
      </c>
      <c r="F89" s="35">
        <f>'FOUND DATA'!G92</f>
        <v>0</v>
      </c>
      <c r="G89" s="36">
        <f>'FOUND DATA'!H92</f>
        <v>0</v>
      </c>
      <c r="H89" s="35">
        <f>'FOUND DATA'!I92</f>
        <v>0</v>
      </c>
      <c r="I89" s="36">
        <f>'FOUND DATA'!J92</f>
        <v>0</v>
      </c>
      <c r="J89" s="35">
        <f>'FOUND DATA'!K92</f>
        <v>0</v>
      </c>
      <c r="K89" s="35">
        <f>'FOUND DATA'!L92</f>
        <v>0.1</v>
      </c>
    </row>
    <row r="90">
      <c r="A90" s="36">
        <f>'FOUND DATA'!B93</f>
        <v>0</v>
      </c>
      <c r="B90" s="35">
        <f>'FOUND DATA'!C93</f>
        <v>0</v>
      </c>
      <c r="C90" s="36">
        <f>'FOUND DATA'!D93</f>
        <v>1</v>
      </c>
      <c r="D90" s="35">
        <f>'FOUND DATA'!E93</f>
        <v>0.5</v>
      </c>
      <c r="E90" s="36">
        <f>'FOUND DATA'!F93</f>
        <v>0</v>
      </c>
      <c r="F90" s="35">
        <f>'FOUND DATA'!G93</f>
        <v>0</v>
      </c>
      <c r="G90" s="36">
        <f>'FOUND DATA'!H93</f>
        <v>2</v>
      </c>
      <c r="H90" s="35">
        <f>'FOUND DATA'!I93</f>
        <v>0.4</v>
      </c>
      <c r="I90" s="36">
        <f>'FOUND DATA'!J93</f>
        <v>0</v>
      </c>
      <c r="J90" s="35">
        <f>'FOUND DATA'!K93</f>
        <v>0</v>
      </c>
      <c r="K90" s="35">
        <f>'FOUND DATA'!L93</f>
        <v>0.1</v>
      </c>
    </row>
    <row r="91">
      <c r="A91" s="36">
        <f>'FOUND DATA'!B94</f>
        <v>13</v>
      </c>
      <c r="B91" s="35">
        <f>'FOUND DATA'!C94</f>
        <v>0.2</v>
      </c>
      <c r="C91" s="36">
        <f>'FOUND DATA'!D94</f>
        <v>3</v>
      </c>
      <c r="D91" s="35">
        <f>'FOUND DATA'!E94</f>
        <v>0.55</v>
      </c>
      <c r="E91" s="36">
        <f>'FOUND DATA'!F94</f>
        <v>0</v>
      </c>
      <c r="F91" s="35">
        <f>'FOUND DATA'!G94</f>
        <v>0</v>
      </c>
      <c r="G91" s="36">
        <f>'FOUND DATA'!H94</f>
        <v>3</v>
      </c>
      <c r="H91" s="35">
        <f>'FOUND DATA'!I94</f>
        <v>0.2</v>
      </c>
      <c r="I91" s="36">
        <f>'FOUND DATA'!J94</f>
        <v>30</v>
      </c>
      <c r="J91" s="35">
        <f>'FOUND DATA'!K94</f>
        <v>0.05</v>
      </c>
      <c r="K91" s="35">
        <f>'FOUND DATA'!L94</f>
        <v>0</v>
      </c>
    </row>
    <row r="92">
      <c r="A92" s="36">
        <f>'FOUND DATA'!B95</f>
        <v>8</v>
      </c>
      <c r="B92" s="35">
        <f>'FOUND DATA'!C95</f>
        <v>0.14</v>
      </c>
      <c r="C92" s="36">
        <f>'FOUND DATA'!D95</f>
        <v>0</v>
      </c>
      <c r="D92" s="35">
        <f>'FOUND DATA'!E95</f>
        <v>0</v>
      </c>
      <c r="E92" s="36">
        <f>'FOUND DATA'!F95</f>
        <v>1</v>
      </c>
      <c r="F92" s="35">
        <f>'FOUND DATA'!G95</f>
        <v>0.25</v>
      </c>
      <c r="G92" s="36">
        <f>'FOUND DATA'!H95</f>
        <v>3</v>
      </c>
      <c r="H92" s="35">
        <f>'FOUND DATA'!I95</f>
        <v>0.45</v>
      </c>
      <c r="I92" s="36">
        <f>'FOUND DATA'!J95</f>
        <v>0</v>
      </c>
      <c r="J92" s="35">
        <f>'FOUND DATA'!K95</f>
        <v>0</v>
      </c>
      <c r="K92" s="35">
        <f>'FOUND DATA'!L95</f>
        <v>0.16</v>
      </c>
    </row>
    <row r="93">
      <c r="A93" s="36">
        <f>'FOUND DATA'!B96</f>
        <v>12</v>
      </c>
      <c r="B93" s="35">
        <f>'FOUND DATA'!C96</f>
        <v>0.05</v>
      </c>
      <c r="C93" s="36">
        <f>'FOUND DATA'!D96</f>
        <v>0</v>
      </c>
      <c r="D93" s="35">
        <f>'FOUND DATA'!E96</f>
        <v>0</v>
      </c>
      <c r="E93" s="36">
        <f>'FOUND DATA'!F96</f>
        <v>1</v>
      </c>
      <c r="F93" s="35">
        <f>'FOUND DATA'!G96</f>
        <v>0.3</v>
      </c>
      <c r="G93" s="36">
        <f>'FOUND DATA'!H96</f>
        <v>3</v>
      </c>
      <c r="H93" s="35">
        <f>'FOUND DATA'!I96</f>
        <v>0.55</v>
      </c>
      <c r="I93" s="36">
        <f>'FOUND DATA'!J96</f>
        <v>15</v>
      </c>
      <c r="J93" s="35">
        <f>'FOUND DATA'!K96</f>
        <v>0.1</v>
      </c>
      <c r="K93" s="35">
        <f>'FOUND DATA'!L96</f>
        <v>0</v>
      </c>
    </row>
    <row r="94">
      <c r="A94" s="36">
        <f>'FOUND DATA'!B97</f>
        <v>9</v>
      </c>
      <c r="B94" s="35">
        <f>'FOUND DATA'!C97</f>
        <v>0.27</v>
      </c>
      <c r="C94" s="36">
        <f>'FOUND DATA'!D97</f>
        <v>5</v>
      </c>
      <c r="D94" s="35">
        <f>'FOUND DATA'!E97</f>
        <v>0.49</v>
      </c>
      <c r="E94" s="36">
        <f>'FOUND DATA'!F97</f>
        <v>0</v>
      </c>
      <c r="F94" s="35">
        <f>'FOUND DATA'!G97</f>
        <v>0</v>
      </c>
      <c r="G94" s="36">
        <f>'FOUND DATA'!H97</f>
        <v>0</v>
      </c>
      <c r="H94" s="35">
        <f>'FOUND DATA'!I97</f>
        <v>0</v>
      </c>
      <c r="I94" s="36">
        <f>'FOUND DATA'!J97</f>
        <v>5</v>
      </c>
      <c r="J94" s="35">
        <f>'FOUND DATA'!K97</f>
        <v>0.15</v>
      </c>
      <c r="K94" s="35">
        <f>'FOUND DATA'!L97</f>
        <v>0.09</v>
      </c>
    </row>
    <row r="95">
      <c r="A95" s="36">
        <f>'FOUND DATA'!B98</f>
        <v>11</v>
      </c>
      <c r="B95" s="35">
        <f>'FOUND DATA'!C98</f>
        <v>0.2</v>
      </c>
      <c r="C95" s="36">
        <f>'FOUND DATA'!D98</f>
        <v>0</v>
      </c>
      <c r="D95" s="35">
        <f>'FOUND DATA'!E98</f>
        <v>0</v>
      </c>
      <c r="E95" s="36">
        <f>'FOUND DATA'!F98</f>
        <v>1</v>
      </c>
      <c r="F95" s="35">
        <f>'FOUND DATA'!G98</f>
        <v>0.4</v>
      </c>
      <c r="G95" s="36">
        <f>'FOUND DATA'!H98</f>
        <v>2</v>
      </c>
      <c r="H95" s="35">
        <f>'FOUND DATA'!I98</f>
        <v>0.4</v>
      </c>
      <c r="I95" s="36">
        <f>'FOUND DATA'!J98</f>
        <v>0</v>
      </c>
      <c r="J95" s="35">
        <f>'FOUND DATA'!K98</f>
        <v>0</v>
      </c>
      <c r="K95" s="35">
        <f>'FOUND DATA'!L98</f>
        <v>0</v>
      </c>
    </row>
    <row r="96">
      <c r="A96" s="36">
        <f>'FOUND DATA'!B99</f>
        <v>12</v>
      </c>
      <c r="B96" s="35">
        <f>'FOUND DATA'!C99</f>
        <v>0.15</v>
      </c>
      <c r="C96" s="36">
        <f>'FOUND DATA'!D99</f>
        <v>3</v>
      </c>
      <c r="D96" s="35">
        <f>'FOUND DATA'!E99</f>
        <v>0.15</v>
      </c>
      <c r="E96" s="36">
        <f>'FOUND DATA'!F99</f>
        <v>1</v>
      </c>
      <c r="F96" s="35">
        <f>'FOUND DATA'!G99</f>
        <v>0.25</v>
      </c>
      <c r="G96" s="36">
        <f>'FOUND DATA'!H99</f>
        <v>3</v>
      </c>
      <c r="H96" s="35">
        <f>'FOUND DATA'!I99</f>
        <v>0.4</v>
      </c>
      <c r="I96" s="36">
        <f>'FOUND DATA'!J99</f>
        <v>15</v>
      </c>
      <c r="J96" s="35">
        <f>'FOUND DATA'!K99</f>
        <v>0.05</v>
      </c>
      <c r="K96" s="35">
        <f>'FOUND DATA'!L99</f>
        <v>0</v>
      </c>
    </row>
    <row r="97">
      <c r="A97" s="36">
        <f>'FOUND DATA'!B100</f>
        <v>13</v>
      </c>
      <c r="B97" s="35">
        <f>'FOUND DATA'!C100</f>
        <v>0.2</v>
      </c>
      <c r="C97" s="36">
        <f>'FOUND DATA'!D100</f>
        <v>5</v>
      </c>
      <c r="D97" s="35">
        <f>'FOUND DATA'!E100</f>
        <v>0.5</v>
      </c>
      <c r="E97" s="36">
        <f>'FOUND DATA'!F100</f>
        <v>0</v>
      </c>
      <c r="F97" s="35">
        <f>'FOUND DATA'!G100</f>
        <v>0</v>
      </c>
      <c r="G97" s="36">
        <f>'FOUND DATA'!H100</f>
        <v>3</v>
      </c>
      <c r="H97" s="35">
        <f>'FOUND DATA'!I100</f>
        <v>0.2</v>
      </c>
      <c r="I97" s="36">
        <f>'FOUND DATA'!J100</f>
        <v>30</v>
      </c>
      <c r="J97" s="35">
        <f>'FOUND DATA'!K100</f>
        <v>0.1</v>
      </c>
      <c r="K97" s="35">
        <f>'FOUND DATA'!L100</f>
        <v>0</v>
      </c>
    </row>
    <row r="98">
      <c r="A98" s="36">
        <f>'FOUND DATA'!B101</f>
        <v>14</v>
      </c>
      <c r="B98" s="35">
        <f>'FOUND DATA'!C101</f>
        <v>0.15</v>
      </c>
      <c r="C98" s="36">
        <f>'FOUND DATA'!D101</f>
        <v>0</v>
      </c>
      <c r="D98" s="35">
        <f>'FOUND DATA'!E101</f>
        <v>0</v>
      </c>
      <c r="E98" s="36">
        <f>'FOUND DATA'!F101</f>
        <v>1</v>
      </c>
      <c r="F98" s="35">
        <f>'FOUND DATA'!G101</f>
        <v>0.35</v>
      </c>
      <c r="G98" s="36">
        <f>'FOUND DATA'!H101</f>
        <v>2</v>
      </c>
      <c r="H98" s="35">
        <f>'FOUND DATA'!I101</f>
        <v>0.5</v>
      </c>
      <c r="I98" s="36">
        <f>'FOUND DATA'!J101</f>
        <v>0</v>
      </c>
      <c r="J98" s="35">
        <f>'FOUND DATA'!K101</f>
        <v>0</v>
      </c>
      <c r="K98" s="35">
        <f>'FOUND DATA'!L101</f>
        <v>0</v>
      </c>
    </row>
    <row r="99">
      <c r="A99" s="36">
        <f>'FOUND DATA'!B102</f>
        <v>12</v>
      </c>
      <c r="B99" s="35">
        <f>'FOUND DATA'!C102</f>
        <v>0.2</v>
      </c>
      <c r="C99" s="36">
        <f>'FOUND DATA'!D102</f>
        <v>0</v>
      </c>
      <c r="D99" s="35">
        <f>'FOUND DATA'!E102</f>
        <v>0</v>
      </c>
      <c r="E99" s="36">
        <f>'FOUND DATA'!F102</f>
        <v>1</v>
      </c>
      <c r="F99" s="35">
        <f>'FOUND DATA'!G102</f>
        <v>0.2</v>
      </c>
      <c r="G99" s="36">
        <f>'FOUND DATA'!H102</f>
        <v>2</v>
      </c>
      <c r="H99" s="35">
        <f>'FOUND DATA'!I102</f>
        <v>0.3</v>
      </c>
      <c r="I99" s="36">
        <f>'FOUND DATA'!J102</f>
        <v>12</v>
      </c>
      <c r="J99" s="35">
        <f>'FOUND DATA'!K102</f>
        <v>0.25</v>
      </c>
      <c r="K99" s="35">
        <f>'FOUND DATA'!L102</f>
        <v>0.05</v>
      </c>
    </row>
    <row r="100">
      <c r="A100" s="36">
        <f>'FOUND DATA'!B103</f>
        <v>12</v>
      </c>
      <c r="B100" s="35">
        <f>'FOUND DATA'!C103</f>
        <v>0.2</v>
      </c>
      <c r="C100" s="36">
        <f>'FOUND DATA'!D103</f>
        <v>0</v>
      </c>
      <c r="D100" s="35">
        <f>'FOUND DATA'!E103</f>
        <v>0</v>
      </c>
      <c r="E100" s="36">
        <f>'FOUND DATA'!F103</f>
        <v>1</v>
      </c>
      <c r="F100" s="35">
        <f>'FOUND DATA'!G103</f>
        <v>0.2</v>
      </c>
      <c r="G100" s="36">
        <f>'FOUND DATA'!H103</f>
        <v>2</v>
      </c>
      <c r="H100" s="35">
        <f>'FOUND DATA'!I103</f>
        <v>0.3</v>
      </c>
      <c r="I100" s="36">
        <f>'FOUND DATA'!J103</f>
        <v>12</v>
      </c>
      <c r="J100" s="35">
        <f>'FOUND DATA'!K103</f>
        <v>0.25</v>
      </c>
      <c r="K100" s="35">
        <f>'FOUND DATA'!L103</f>
        <v>0.05</v>
      </c>
    </row>
    <row r="101">
      <c r="A101" s="36">
        <f>'FOUND DATA'!B104</f>
        <v>13</v>
      </c>
      <c r="B101" s="35">
        <f>'FOUND DATA'!C104</f>
        <v>0.1</v>
      </c>
      <c r="C101" s="36">
        <f>'FOUND DATA'!D104</f>
        <v>0</v>
      </c>
      <c r="D101" s="35">
        <f>'FOUND DATA'!E104</f>
        <v>0</v>
      </c>
      <c r="E101" s="36">
        <f>'FOUND DATA'!F104</f>
        <v>1</v>
      </c>
      <c r="F101" s="35">
        <f>'FOUND DATA'!G104</f>
        <v>0.25</v>
      </c>
      <c r="G101" s="36">
        <f>'FOUND DATA'!H104</f>
        <v>2</v>
      </c>
      <c r="H101" s="35">
        <f>'FOUND DATA'!I104</f>
        <v>0.5</v>
      </c>
      <c r="I101" s="36">
        <f>'FOUND DATA'!J104</f>
        <v>11</v>
      </c>
      <c r="J101" s="35">
        <f>'FOUND DATA'!K104</f>
        <v>0.1</v>
      </c>
      <c r="K101" s="35">
        <f>'FOUND DATA'!L104</f>
        <v>0.05</v>
      </c>
    </row>
    <row r="102">
      <c r="A102" s="36">
        <f>'FOUND DATA'!B105</f>
        <v>9</v>
      </c>
      <c r="B102" s="35">
        <f>'FOUND DATA'!C105</f>
        <v>0.3</v>
      </c>
      <c r="C102" s="36">
        <f>'FOUND DATA'!D105</f>
        <v>1</v>
      </c>
      <c r="D102" s="35">
        <f>'FOUND DATA'!E105</f>
        <v>0.15</v>
      </c>
      <c r="E102" s="36">
        <f>'FOUND DATA'!F105</f>
        <v>1</v>
      </c>
      <c r="F102" s="35">
        <f>'FOUND DATA'!G105</f>
        <v>0.2</v>
      </c>
      <c r="G102" s="36">
        <f>'FOUND DATA'!H105</f>
        <v>2</v>
      </c>
      <c r="H102" s="35">
        <f>'FOUND DATA'!I105</f>
        <v>0.35</v>
      </c>
      <c r="I102" s="36">
        <f>'FOUND DATA'!J105</f>
        <v>0</v>
      </c>
      <c r="J102" s="35">
        <f>'FOUND DATA'!K105</f>
        <v>0</v>
      </c>
      <c r="K102" s="35">
        <f>'FOUND DATA'!L105</f>
        <v>0</v>
      </c>
    </row>
    <row r="103">
      <c r="A103" s="36">
        <f>'FOUND DATA'!B106</f>
        <v>9</v>
      </c>
      <c r="B103" s="35">
        <f>'FOUND DATA'!C106</f>
        <v>0.3</v>
      </c>
      <c r="C103" s="36">
        <f>'FOUND DATA'!D106</f>
        <v>1</v>
      </c>
      <c r="D103" s="35">
        <f>'FOUND DATA'!E106</f>
        <v>0.15</v>
      </c>
      <c r="E103" s="36">
        <f>'FOUND DATA'!F106</f>
        <v>1</v>
      </c>
      <c r="F103" s="35">
        <f>'FOUND DATA'!G106</f>
        <v>0.2</v>
      </c>
      <c r="G103" s="36">
        <f>'FOUND DATA'!H106</f>
        <v>2</v>
      </c>
      <c r="H103" s="35">
        <f>'FOUND DATA'!I106</f>
        <v>0.35</v>
      </c>
      <c r="I103" s="36">
        <f>'FOUND DATA'!J106</f>
        <v>0</v>
      </c>
      <c r="J103" s="35">
        <f>'FOUND DATA'!K106</f>
        <v>0</v>
      </c>
      <c r="K103" s="35">
        <f>'FOUND DATA'!L106</f>
        <v>0</v>
      </c>
    </row>
    <row r="104">
      <c r="A104" s="36">
        <f>'FOUND DATA'!B107</f>
        <v>9</v>
      </c>
      <c r="B104" s="35">
        <f>'FOUND DATA'!C107</f>
        <v>0.3</v>
      </c>
      <c r="C104" s="36">
        <f>'FOUND DATA'!D107</f>
        <v>1</v>
      </c>
      <c r="D104" s="35">
        <f>'FOUND DATA'!E107</f>
        <v>0.15</v>
      </c>
      <c r="E104" s="36">
        <f>'FOUND DATA'!F107</f>
        <v>1</v>
      </c>
      <c r="F104" s="35">
        <f>'FOUND DATA'!G107</f>
        <v>0.2</v>
      </c>
      <c r="G104" s="36">
        <f>'FOUND DATA'!H107</f>
        <v>2</v>
      </c>
      <c r="H104" s="35">
        <f>'FOUND DATA'!I107</f>
        <v>0.35</v>
      </c>
      <c r="I104" s="36">
        <f>'FOUND DATA'!J107</f>
        <v>0</v>
      </c>
      <c r="J104" s="35">
        <f>'FOUND DATA'!K107</f>
        <v>0</v>
      </c>
      <c r="K104" s="35">
        <f>'FOUND DATA'!L107</f>
        <v>0</v>
      </c>
    </row>
    <row r="105">
      <c r="A105" s="36" t="str">
        <f>'FOUND DATA'!B108</f>
        <v>END</v>
      </c>
      <c r="B105" s="35" t="str">
        <f>'FOUND DATA'!C108</f>
        <v>END</v>
      </c>
      <c r="C105" s="35" t="str">
        <f>'FOUND DATA'!D108</f>
        <v>END</v>
      </c>
      <c r="D105" s="35" t="str">
        <f>'FOUND DATA'!E108</f>
        <v>END</v>
      </c>
      <c r="E105" s="35" t="str">
        <f>'FOUND DATA'!F108</f>
        <v>END</v>
      </c>
      <c r="F105" s="35" t="str">
        <f>'FOUND DATA'!G108</f>
        <v>END</v>
      </c>
      <c r="G105" s="35" t="str">
        <f>'FOUND DATA'!H108</f>
        <v>END</v>
      </c>
      <c r="H105" s="35" t="str">
        <f>'FOUND DATA'!I108</f>
        <v>END</v>
      </c>
      <c r="I105" s="35" t="str">
        <f>'FOUND DATA'!J108</f>
        <v>END</v>
      </c>
      <c r="J105" s="35" t="str">
        <f>'FOUND DATA'!K108</f>
        <v>END</v>
      </c>
      <c r="K105" s="35" t="str">
        <f>'FOUND DATA'!L108</f>
        <v>END</v>
      </c>
    </row>
    <row r="124">
      <c r="A124" s="36" t="str">
        <f>'FOUND DATA'!B126</f>
        <v/>
      </c>
      <c r="B124" s="35" t="str">
        <f>'FOUND DATA'!C126</f>
        <v/>
      </c>
      <c r="C124" s="36" t="str">
        <f>'FOUND DATA'!D126</f>
        <v/>
      </c>
      <c r="D124" s="35" t="str">
        <f>'FOUND DATA'!E126</f>
        <v/>
      </c>
      <c r="E124" s="36" t="str">
        <f>'FOUND DATA'!F126</f>
        <v/>
      </c>
      <c r="F124" s="35" t="str">
        <f>'FOUND DATA'!G126</f>
        <v/>
      </c>
      <c r="G124" s="36" t="str">
        <f>'FOUND DATA'!H126</f>
        <v/>
      </c>
      <c r="H124" s="35" t="str">
        <f>'FOUND DATA'!I126</f>
        <v/>
      </c>
      <c r="I124" s="36" t="str">
        <f>'FOUND DATA'!J126</f>
        <v/>
      </c>
      <c r="J124" s="35" t="str">
        <f>'FOUND DATA'!K126</f>
        <v/>
      </c>
      <c r="K124" s="35" t="str">
        <f>'FOUND DATA'!L126</f>
        <v/>
      </c>
    </row>
    <row r="125">
      <c r="A125" s="36" t="str">
        <f>'FOUND DATA'!B127</f>
        <v/>
      </c>
      <c r="B125" s="35" t="str">
        <f>'FOUND DATA'!C127</f>
        <v/>
      </c>
      <c r="C125" s="36" t="str">
        <f>'FOUND DATA'!D127</f>
        <v/>
      </c>
      <c r="D125" s="35" t="str">
        <f>'FOUND DATA'!E127</f>
        <v/>
      </c>
      <c r="E125" s="36" t="str">
        <f>'FOUND DATA'!F127</f>
        <v/>
      </c>
      <c r="F125" s="35" t="str">
        <f>'FOUND DATA'!G127</f>
        <v/>
      </c>
      <c r="G125" s="36" t="str">
        <f>'FOUND DATA'!H127</f>
        <v/>
      </c>
      <c r="H125" s="35" t="str">
        <f>'FOUND DATA'!I127</f>
        <v/>
      </c>
      <c r="I125" s="36" t="str">
        <f>'FOUND DATA'!J127</f>
        <v/>
      </c>
      <c r="J125" s="35" t="str">
        <f>'FOUND DATA'!K127</f>
        <v/>
      </c>
      <c r="K125" s="35" t="str">
        <f>'FOUND DATA'!L127</f>
        <v/>
      </c>
    </row>
    <row r="126">
      <c r="A126" s="36" t="str">
        <f>'FOUND DATA'!B128</f>
        <v/>
      </c>
      <c r="B126" s="35" t="str">
        <f>'FOUND DATA'!C128</f>
        <v/>
      </c>
      <c r="C126" s="36" t="str">
        <f>'FOUND DATA'!D128</f>
        <v/>
      </c>
      <c r="D126" s="35" t="str">
        <f>'FOUND DATA'!E128</f>
        <v/>
      </c>
      <c r="E126" s="36" t="str">
        <f>'FOUND DATA'!F128</f>
        <v/>
      </c>
      <c r="F126" s="35" t="str">
        <f>'FOUND DATA'!G128</f>
        <v/>
      </c>
      <c r="G126" s="36" t="str">
        <f>'FOUND DATA'!H128</f>
        <v/>
      </c>
      <c r="H126" s="35" t="str">
        <f>'FOUND DATA'!I128</f>
        <v/>
      </c>
      <c r="I126" s="36" t="str">
        <f>'FOUND DATA'!J128</f>
        <v/>
      </c>
      <c r="J126" s="35" t="str">
        <f>'FOUND DATA'!K128</f>
        <v/>
      </c>
      <c r="K126" s="35" t="str">
        <f>'FOUND DATA'!L128</f>
        <v/>
      </c>
    </row>
    <row r="127">
      <c r="A127" s="36" t="str">
        <f>'FOUND DATA'!B129</f>
        <v/>
      </c>
      <c r="B127" s="35" t="str">
        <f>'FOUND DATA'!C129</f>
        <v/>
      </c>
      <c r="C127" s="36" t="str">
        <f>'FOUND DATA'!D129</f>
        <v/>
      </c>
      <c r="D127" s="35" t="str">
        <f>'FOUND DATA'!E129</f>
        <v/>
      </c>
      <c r="E127" s="36" t="str">
        <f>'FOUND DATA'!F129</f>
        <v/>
      </c>
      <c r="F127" s="35" t="str">
        <f>'FOUND DATA'!G129</f>
        <v/>
      </c>
      <c r="G127" s="36" t="str">
        <f>'FOUND DATA'!H129</f>
        <v/>
      </c>
      <c r="H127" s="35" t="str">
        <f>'FOUND DATA'!I129</f>
        <v/>
      </c>
      <c r="I127" s="36" t="str">
        <f>'FOUND DATA'!J129</f>
        <v/>
      </c>
      <c r="J127" s="35" t="str">
        <f>'FOUND DATA'!K129</f>
        <v/>
      </c>
      <c r="K127" s="35" t="str">
        <f>'FOUND DATA'!L129</f>
        <v/>
      </c>
    </row>
    <row r="128">
      <c r="A128" s="36" t="str">
        <f>'FOUND DATA'!B130</f>
        <v/>
      </c>
      <c r="B128" s="35" t="str">
        <f>'FOUND DATA'!C130</f>
        <v/>
      </c>
      <c r="C128" s="36" t="str">
        <f>'FOUND DATA'!D130</f>
        <v/>
      </c>
      <c r="D128" s="35" t="str">
        <f>'FOUND DATA'!E130</f>
        <v/>
      </c>
      <c r="E128" s="36" t="str">
        <f>'FOUND DATA'!F130</f>
        <v/>
      </c>
      <c r="F128" s="35" t="str">
        <f>'FOUND DATA'!G130</f>
        <v/>
      </c>
      <c r="G128" s="36" t="str">
        <f>'FOUND DATA'!H130</f>
        <v/>
      </c>
      <c r="H128" s="35" t="str">
        <f>'FOUND DATA'!I130</f>
        <v/>
      </c>
      <c r="I128" s="36" t="str">
        <f>'FOUND DATA'!J130</f>
        <v/>
      </c>
      <c r="J128" s="35" t="str">
        <f>'FOUND DATA'!K130</f>
        <v/>
      </c>
      <c r="K128" s="35" t="str">
        <f>'FOUND DATA'!L130</f>
        <v/>
      </c>
    </row>
    <row r="129">
      <c r="A129" s="36" t="str">
        <f>'FOUND DATA'!B111</f>
        <v/>
      </c>
      <c r="B129" s="35" t="str">
        <f>'FOUND DATA'!C111</f>
        <v/>
      </c>
      <c r="C129" s="36" t="str">
        <f>'FOUND DATA'!D111</f>
        <v/>
      </c>
      <c r="D129" s="35" t="str">
        <f>'FOUND DATA'!E111</f>
        <v/>
      </c>
      <c r="E129" s="36" t="str">
        <f>'FOUND DATA'!F111</f>
        <v/>
      </c>
      <c r="F129" s="35" t="str">
        <f>'FOUND DATA'!G111</f>
        <v/>
      </c>
      <c r="G129" s="36" t="str">
        <f>'FOUND DATA'!H111</f>
        <v/>
      </c>
      <c r="H129" s="35" t="str">
        <f>'FOUND DATA'!I111</f>
        <v/>
      </c>
      <c r="I129" s="36" t="str">
        <f>'FOUND DATA'!J111</f>
        <v/>
      </c>
      <c r="J129" s="35" t="str">
        <f>'FOUND DATA'!K111</f>
        <v/>
      </c>
      <c r="K129" s="35" t="str">
        <f>'FOUND DATA'!L111</f>
        <v/>
      </c>
    </row>
    <row r="130">
      <c r="A130" s="36" t="str">
        <f>'FOUND DATA'!B112</f>
        <v/>
      </c>
      <c r="B130" s="35" t="str">
        <f>'FOUND DATA'!C112</f>
        <v/>
      </c>
      <c r="C130" s="36" t="str">
        <f>'FOUND DATA'!D112</f>
        <v/>
      </c>
      <c r="D130" s="35" t="str">
        <f>'FOUND DATA'!E112</f>
        <v/>
      </c>
      <c r="E130" s="36" t="str">
        <f>'FOUND DATA'!F112</f>
        <v/>
      </c>
      <c r="F130" s="35" t="str">
        <f>'FOUND DATA'!G112</f>
        <v/>
      </c>
      <c r="G130" s="36" t="str">
        <f>'FOUND DATA'!H112</f>
        <v/>
      </c>
      <c r="H130" s="35" t="str">
        <f>'FOUND DATA'!I112</f>
        <v/>
      </c>
      <c r="I130" s="36" t="str">
        <f>'FOUND DATA'!J112</f>
        <v/>
      </c>
      <c r="J130" s="35" t="str">
        <f>'FOUND DATA'!K112</f>
        <v/>
      </c>
      <c r="K130" s="35" t="str">
        <f>'FOUND DATA'!L112</f>
        <v/>
      </c>
    </row>
    <row r="131">
      <c r="A131" s="36" t="str">
        <f>'FOUND DATA'!B113</f>
        <v/>
      </c>
      <c r="B131" s="35" t="str">
        <f>'FOUND DATA'!C113</f>
        <v/>
      </c>
      <c r="C131" s="36" t="str">
        <f>'FOUND DATA'!D113</f>
        <v/>
      </c>
      <c r="D131" s="35" t="str">
        <f>'FOUND DATA'!E113</f>
        <v/>
      </c>
      <c r="E131" s="36" t="str">
        <f>'FOUND DATA'!F113</f>
        <v/>
      </c>
      <c r="F131" s="35" t="str">
        <f>'FOUND DATA'!G113</f>
        <v/>
      </c>
      <c r="G131" s="36" t="str">
        <f>'FOUND DATA'!H113</f>
        <v/>
      </c>
      <c r="H131" s="35" t="str">
        <f>'FOUND DATA'!I113</f>
        <v/>
      </c>
      <c r="I131" s="36" t="str">
        <f>'FOUND DATA'!J113</f>
        <v/>
      </c>
      <c r="J131" s="35" t="str">
        <f>'FOUND DATA'!K113</f>
        <v/>
      </c>
      <c r="K131" s="35" t="str">
        <f>'FOUND DATA'!L113</f>
        <v/>
      </c>
    </row>
    <row r="132">
      <c r="A132" s="36" t="str">
        <f>'FOUND DATA'!B114</f>
        <v/>
      </c>
      <c r="B132" s="35" t="str">
        <f>'FOUND DATA'!C114</f>
        <v/>
      </c>
      <c r="C132" s="36" t="str">
        <f>'FOUND DATA'!D114</f>
        <v/>
      </c>
      <c r="D132" s="35" t="str">
        <f>'FOUND DATA'!E114</f>
        <v/>
      </c>
      <c r="E132" s="36" t="str">
        <f>'FOUND DATA'!F114</f>
        <v/>
      </c>
      <c r="F132" s="35" t="str">
        <f>'FOUND DATA'!G114</f>
        <v/>
      </c>
      <c r="G132" s="36" t="str">
        <f>'FOUND DATA'!H114</f>
        <v/>
      </c>
      <c r="H132" s="35" t="str">
        <f>'FOUND DATA'!I114</f>
        <v/>
      </c>
      <c r="I132" s="36" t="str">
        <f>'FOUND DATA'!J114</f>
        <v/>
      </c>
      <c r="J132" s="35" t="str">
        <f>'FOUND DATA'!K114</f>
        <v/>
      </c>
      <c r="K132" s="35" t="str">
        <f>'FOUND DATA'!L114</f>
        <v/>
      </c>
    </row>
    <row r="146">
      <c r="A146" s="36" t="str">
        <f>'FOUND DATA'!B124</f>
        <v/>
      </c>
      <c r="B146" s="35" t="str">
        <f>'FOUND DATA'!C124</f>
        <v/>
      </c>
      <c r="C146" s="36" t="str">
        <f>'FOUND DATA'!D124</f>
        <v/>
      </c>
      <c r="D146" s="35" t="str">
        <f>'FOUND DATA'!E124</f>
        <v/>
      </c>
      <c r="E146" s="36" t="str">
        <f>'FOUND DATA'!F124</f>
        <v/>
      </c>
      <c r="F146" s="35" t="str">
        <f>'FOUND DATA'!G124</f>
        <v/>
      </c>
      <c r="G146" s="36" t="str">
        <f>'FOUND DATA'!H124</f>
        <v/>
      </c>
      <c r="H146" s="35" t="str">
        <f>'FOUND DATA'!I124</f>
        <v/>
      </c>
      <c r="I146" s="36" t="str">
        <f>'FOUND DATA'!J124</f>
        <v/>
      </c>
      <c r="J146" s="35" t="str">
        <f>'FOUND DATA'!K124</f>
        <v/>
      </c>
      <c r="K146" s="35" t="str">
        <f>'FOUND DATA'!L124</f>
        <v/>
      </c>
    </row>
    <row r="147">
      <c r="A147" s="36" t="str">
        <f>'FOUND DATA'!B125</f>
        <v/>
      </c>
      <c r="B147" s="35" t="str">
        <f>'FOUND DATA'!C125</f>
        <v/>
      </c>
      <c r="C147" s="36" t="str">
        <f>'FOUND DATA'!D125</f>
        <v/>
      </c>
      <c r="D147" s="35" t="str">
        <f>'FOUND DATA'!E125</f>
        <v/>
      </c>
      <c r="E147" s="36" t="str">
        <f>'FOUND DATA'!F125</f>
        <v/>
      </c>
      <c r="F147" s="35" t="str">
        <f>'FOUND DATA'!G125</f>
        <v/>
      </c>
      <c r="G147" s="36" t="str">
        <f>'FOUND DATA'!H125</f>
        <v/>
      </c>
      <c r="H147" s="35" t="str">
        <f>'FOUND DATA'!I125</f>
        <v/>
      </c>
      <c r="I147" s="36" t="str">
        <f>'FOUND DATA'!J125</f>
        <v/>
      </c>
      <c r="J147" s="35" t="str">
        <f>'FOUND DATA'!K125</f>
        <v/>
      </c>
      <c r="K147" s="35" t="str">
        <f>'FOUND DATA'!L125</f>
        <v/>
      </c>
    </row>
    <row r="148">
      <c r="A148" s="36" t="str">
        <f>'FOUND DATA'!B126</f>
        <v/>
      </c>
      <c r="B148" s="35" t="str">
        <f>'FOUND DATA'!C126</f>
        <v/>
      </c>
      <c r="C148" s="36" t="str">
        <f>'FOUND DATA'!D126</f>
        <v/>
      </c>
      <c r="D148" s="35" t="str">
        <f>'FOUND DATA'!E126</f>
        <v/>
      </c>
      <c r="E148" s="36" t="str">
        <f>'FOUND DATA'!F126</f>
        <v/>
      </c>
      <c r="F148" s="35" t="str">
        <f>'FOUND DATA'!G126</f>
        <v/>
      </c>
      <c r="G148" s="36" t="str">
        <f>'FOUND DATA'!H126</f>
        <v/>
      </c>
      <c r="H148" s="35" t="str">
        <f>'FOUND DATA'!I126</f>
        <v/>
      </c>
      <c r="I148" s="36" t="str">
        <f>'FOUND DATA'!J126</f>
        <v/>
      </c>
      <c r="J148" s="35" t="str">
        <f>'FOUND DATA'!K126</f>
        <v/>
      </c>
      <c r="K148" s="35" t="str">
        <f>'FOUND DATA'!L126</f>
        <v/>
      </c>
    </row>
    <row r="149">
      <c r="A149" s="36" t="str">
        <f>'FOUND DATA'!B127</f>
        <v/>
      </c>
      <c r="B149" s="35" t="str">
        <f>'FOUND DATA'!C127</f>
        <v/>
      </c>
      <c r="C149" s="36" t="str">
        <f>'FOUND DATA'!D127</f>
        <v/>
      </c>
      <c r="D149" s="35" t="str">
        <f>'FOUND DATA'!E127</f>
        <v/>
      </c>
      <c r="E149" s="36" t="str">
        <f>'FOUND DATA'!F127</f>
        <v/>
      </c>
      <c r="F149" s="35" t="str">
        <f>'FOUND DATA'!G127</f>
        <v/>
      </c>
      <c r="G149" s="36" t="str">
        <f>'FOUND DATA'!H127</f>
        <v/>
      </c>
      <c r="H149" s="35" t="str">
        <f>'FOUND DATA'!I127</f>
        <v/>
      </c>
      <c r="I149" s="36" t="str">
        <f>'FOUND DATA'!J127</f>
        <v/>
      </c>
      <c r="J149" s="35" t="str">
        <f>'FOUND DATA'!K127</f>
        <v/>
      </c>
      <c r="K149" s="35" t="str">
        <f>'FOUND DATA'!L127</f>
        <v/>
      </c>
    </row>
    <row r="150">
      <c r="A150" s="36" t="str">
        <f>'FOUND DATA'!B128</f>
        <v/>
      </c>
      <c r="B150" s="35" t="str">
        <f>'FOUND DATA'!C128</f>
        <v/>
      </c>
      <c r="C150" s="36" t="str">
        <f>'FOUND DATA'!D128</f>
        <v/>
      </c>
      <c r="D150" s="35" t="str">
        <f>'FOUND DATA'!E128</f>
        <v/>
      </c>
      <c r="E150" s="36" t="str">
        <f>'FOUND DATA'!F128</f>
        <v/>
      </c>
      <c r="F150" s="35" t="str">
        <f>'FOUND DATA'!G128</f>
        <v/>
      </c>
      <c r="G150" s="36" t="str">
        <f>'FOUND DATA'!H128</f>
        <v/>
      </c>
      <c r="H150" s="35" t="str">
        <f>'FOUND DATA'!I128</f>
        <v/>
      </c>
      <c r="I150" s="36" t="str">
        <f>'FOUND DATA'!J128</f>
        <v/>
      </c>
      <c r="J150" s="35" t="str">
        <f>'FOUND DATA'!K128</f>
        <v/>
      </c>
      <c r="K150" s="35" t="str">
        <f>'FOUND DATA'!L128</f>
        <v/>
      </c>
    </row>
    <row r="151">
      <c r="A151" s="36" t="str">
        <f>'FOUND DATA'!B129</f>
        <v/>
      </c>
      <c r="B151" s="35" t="str">
        <f>'FOUND DATA'!C129</f>
        <v/>
      </c>
      <c r="C151" s="36" t="str">
        <f>'FOUND DATA'!D129</f>
        <v/>
      </c>
      <c r="D151" s="35" t="str">
        <f>'FOUND DATA'!E129</f>
        <v/>
      </c>
      <c r="E151" s="36" t="str">
        <f>'FOUND DATA'!F129</f>
        <v/>
      </c>
      <c r="F151" s="35" t="str">
        <f>'FOUND DATA'!G129</f>
        <v/>
      </c>
      <c r="G151" s="36" t="str">
        <f>'FOUND DATA'!H129</f>
        <v/>
      </c>
      <c r="H151" s="35" t="str">
        <f>'FOUND DATA'!I129</f>
        <v/>
      </c>
      <c r="I151" s="36" t="str">
        <f>'FOUND DATA'!J129</f>
        <v/>
      </c>
      <c r="J151" s="35" t="str">
        <f>'FOUND DATA'!K129</f>
        <v/>
      </c>
      <c r="K151" s="35" t="str">
        <f>'FOUND DATA'!L129</f>
        <v/>
      </c>
    </row>
    <row r="152">
      <c r="A152" s="36" t="str">
        <f>'FOUND DATA'!B130</f>
        <v/>
      </c>
      <c r="B152" s="35" t="str">
        <f>'FOUND DATA'!C130</f>
        <v/>
      </c>
      <c r="C152" s="36" t="str">
        <f>'FOUND DATA'!D130</f>
        <v/>
      </c>
      <c r="D152" s="35" t="str">
        <f>'FOUND DATA'!E130</f>
        <v/>
      </c>
      <c r="E152" s="36" t="str">
        <f>'FOUND DATA'!F130</f>
        <v/>
      </c>
      <c r="F152" s="35" t="str">
        <f>'FOUND DATA'!G130</f>
        <v/>
      </c>
      <c r="G152" s="36" t="str">
        <f>'FOUND DATA'!H130</f>
        <v/>
      </c>
      <c r="H152" s="35" t="str">
        <f>'FOUND DATA'!I130</f>
        <v/>
      </c>
      <c r="I152" s="36" t="str">
        <f>'FOUND DATA'!J130</f>
        <v/>
      </c>
      <c r="J152" s="35" t="str">
        <f>'FOUND DATA'!K130</f>
        <v/>
      </c>
      <c r="K152" s="35" t="str">
        <f>'FOUND DATA'!L130</f>
        <v/>
      </c>
    </row>
    <row r="153">
      <c r="A153" s="36" t="str">
        <f>'FOUND DATA'!B131</f>
        <v/>
      </c>
      <c r="B153" s="35" t="str">
        <f>'FOUND DATA'!C131</f>
        <v/>
      </c>
      <c r="C153" s="36" t="str">
        <f>'FOUND DATA'!D131</f>
        <v/>
      </c>
      <c r="D153" s="35" t="str">
        <f>'FOUND DATA'!E131</f>
        <v/>
      </c>
      <c r="E153" s="36" t="str">
        <f>'FOUND DATA'!F131</f>
        <v/>
      </c>
      <c r="F153" s="35" t="str">
        <f>'FOUND DATA'!G131</f>
        <v/>
      </c>
      <c r="G153" s="36" t="str">
        <f>'FOUND DATA'!H131</f>
        <v/>
      </c>
      <c r="H153" s="35" t="str">
        <f>'FOUND DATA'!I131</f>
        <v/>
      </c>
      <c r="I153" s="36" t="str">
        <f>'FOUND DATA'!J131</f>
        <v/>
      </c>
      <c r="J153" s="35" t="str">
        <f>'FOUND DATA'!K131</f>
        <v/>
      </c>
      <c r="K153" s="35" t="str">
        <f>'FOUND DATA'!L131</f>
        <v/>
      </c>
    </row>
    <row r="154">
      <c r="A154" s="36" t="str">
        <f>'FOUND DATA'!B132</f>
        <v/>
      </c>
      <c r="B154" s="35" t="str">
        <f>'FOUND DATA'!C132</f>
        <v/>
      </c>
      <c r="C154" s="36" t="str">
        <f>'FOUND DATA'!D132</f>
        <v/>
      </c>
      <c r="D154" s="35" t="str">
        <f>'FOUND DATA'!E132</f>
        <v/>
      </c>
      <c r="E154" s="36" t="str">
        <f>'FOUND DATA'!F132</f>
        <v/>
      </c>
      <c r="F154" s="35" t="str">
        <f>'FOUND DATA'!G132</f>
        <v/>
      </c>
      <c r="G154" s="36" t="str">
        <f>'FOUND DATA'!H132</f>
        <v/>
      </c>
      <c r="H154" s="35" t="str">
        <f>'FOUND DATA'!I132</f>
        <v/>
      </c>
      <c r="I154" s="36" t="str">
        <f>'FOUND DATA'!J132</f>
        <v/>
      </c>
      <c r="J154" s="35" t="str">
        <f>'FOUND DATA'!K132</f>
        <v/>
      </c>
      <c r="K154" s="35" t="str">
        <f>'FOUND DATA'!L132</f>
        <v/>
      </c>
    </row>
    <row r="155">
      <c r="A155" s="36" t="str">
        <f>'FOUND DATA'!B133</f>
        <v/>
      </c>
      <c r="B155" s="35" t="str">
        <f>'FOUND DATA'!C133</f>
        <v/>
      </c>
      <c r="C155" s="36" t="str">
        <f>'FOUND DATA'!D133</f>
        <v/>
      </c>
      <c r="D155" s="35" t="str">
        <f>'FOUND DATA'!E133</f>
        <v/>
      </c>
      <c r="E155" s="36" t="str">
        <f>'FOUND DATA'!F133</f>
        <v/>
      </c>
      <c r="F155" s="35" t="str">
        <f>'FOUND DATA'!G133</f>
        <v/>
      </c>
      <c r="G155" s="36" t="str">
        <f>'FOUND DATA'!H133</f>
        <v/>
      </c>
      <c r="H155" s="35" t="str">
        <f>'FOUND DATA'!I133</f>
        <v/>
      </c>
      <c r="I155" s="36" t="str">
        <f>'FOUND DATA'!J133</f>
        <v/>
      </c>
      <c r="J155" s="35" t="str">
        <f>'FOUND DATA'!K133</f>
        <v/>
      </c>
      <c r="K155" s="35" t="str">
        <f>'FOUND DATA'!L133</f>
        <v/>
      </c>
    </row>
    <row r="156">
      <c r="A156" s="36" t="str">
        <f>'FOUND DATA'!B134</f>
        <v/>
      </c>
      <c r="B156" s="35" t="str">
        <f>'FOUND DATA'!C134</f>
        <v/>
      </c>
      <c r="C156" s="36" t="str">
        <f>'FOUND DATA'!D134</f>
        <v/>
      </c>
      <c r="D156" s="35" t="str">
        <f>'FOUND DATA'!E134</f>
        <v/>
      </c>
      <c r="E156" s="36" t="str">
        <f>'FOUND DATA'!F134</f>
        <v/>
      </c>
      <c r="F156" s="35" t="str">
        <f>'FOUND DATA'!G134</f>
        <v/>
      </c>
      <c r="G156" s="36" t="str">
        <f>'FOUND DATA'!H134</f>
        <v/>
      </c>
      <c r="H156" s="35" t="str">
        <f>'FOUND DATA'!I134</f>
        <v/>
      </c>
      <c r="I156" s="36" t="str">
        <f>'FOUND DATA'!J134</f>
        <v/>
      </c>
      <c r="J156" s="35" t="str">
        <f>'FOUND DATA'!K134</f>
        <v/>
      </c>
      <c r="K156" s="35" t="str">
        <f>'FOUND DATA'!L134</f>
        <v/>
      </c>
    </row>
    <row r="157">
      <c r="A157" s="36" t="str">
        <f>'FOUND DATA'!B135</f>
        <v/>
      </c>
      <c r="B157" s="35" t="str">
        <f>'FOUND DATA'!C135</f>
        <v/>
      </c>
      <c r="C157" s="36" t="str">
        <f>'FOUND DATA'!D135</f>
        <v/>
      </c>
      <c r="D157" s="35" t="str">
        <f>'FOUND DATA'!E135</f>
        <v/>
      </c>
      <c r="E157" s="36" t="str">
        <f>'FOUND DATA'!F135</f>
        <v/>
      </c>
      <c r="F157" s="35" t="str">
        <f>'FOUND DATA'!G135</f>
        <v/>
      </c>
      <c r="G157" s="36" t="str">
        <f>'FOUND DATA'!H135</f>
        <v/>
      </c>
      <c r="H157" s="35" t="str">
        <f>'FOUND DATA'!I135</f>
        <v/>
      </c>
      <c r="I157" s="36" t="str">
        <f>'FOUND DATA'!J135</f>
        <v/>
      </c>
      <c r="J157" s="35" t="str">
        <f>'FOUND DATA'!K135</f>
        <v/>
      </c>
      <c r="K157" s="35" t="str">
        <f>'FOUND DATA'!L135</f>
        <v/>
      </c>
    </row>
    <row r="158">
      <c r="A158" s="36" t="str">
        <f>'FOUND DATA'!B136</f>
        <v/>
      </c>
      <c r="B158" s="35" t="str">
        <f>'FOUND DATA'!C136</f>
        <v/>
      </c>
      <c r="C158" s="36" t="str">
        <f>'FOUND DATA'!D136</f>
        <v/>
      </c>
      <c r="D158" s="35" t="str">
        <f>'FOUND DATA'!E136</f>
        <v/>
      </c>
      <c r="E158" s="36" t="str">
        <f>'FOUND DATA'!F136</f>
        <v/>
      </c>
      <c r="F158" s="35" t="str">
        <f>'FOUND DATA'!G136</f>
        <v/>
      </c>
      <c r="G158" s="36" t="str">
        <f>'FOUND DATA'!H136</f>
        <v/>
      </c>
      <c r="H158" s="35" t="str">
        <f>'FOUND DATA'!I136</f>
        <v/>
      </c>
      <c r="I158" s="36" t="str">
        <f>'FOUND DATA'!J136</f>
        <v/>
      </c>
      <c r="J158" s="35" t="str">
        <f>'FOUND DATA'!K136</f>
        <v/>
      </c>
      <c r="K158" s="35" t="str">
        <f>'FOUND DATA'!L136</f>
        <v/>
      </c>
    </row>
    <row r="159">
      <c r="A159" s="36" t="str">
        <f>'FOUND DATA'!B137</f>
        <v/>
      </c>
      <c r="B159" s="35" t="str">
        <f>'FOUND DATA'!C137</f>
        <v/>
      </c>
      <c r="C159" s="36" t="str">
        <f>'FOUND DATA'!D137</f>
        <v/>
      </c>
      <c r="D159" s="35" t="str">
        <f>'FOUND DATA'!E137</f>
        <v/>
      </c>
      <c r="E159" s="36" t="str">
        <f>'FOUND DATA'!F137</f>
        <v/>
      </c>
      <c r="F159" s="35" t="str">
        <f>'FOUND DATA'!G137</f>
        <v/>
      </c>
      <c r="G159" s="36" t="str">
        <f>'FOUND DATA'!H137</f>
        <v/>
      </c>
      <c r="H159" s="35" t="str">
        <f>'FOUND DATA'!I137</f>
        <v/>
      </c>
      <c r="I159" s="36" t="str">
        <f>'FOUND DATA'!J137</f>
        <v/>
      </c>
      <c r="J159" s="35" t="str">
        <f>'FOUND DATA'!K137</f>
        <v/>
      </c>
      <c r="K159" s="35" t="str">
        <f>'FOUND DATA'!L137</f>
        <v/>
      </c>
    </row>
    <row r="160">
      <c r="A160" s="36" t="str">
        <f>'FOUND DATA'!B138</f>
        <v/>
      </c>
      <c r="B160" s="35" t="str">
        <f>'FOUND DATA'!C138</f>
        <v/>
      </c>
      <c r="C160" s="36" t="str">
        <f>'FOUND DATA'!D138</f>
        <v/>
      </c>
      <c r="D160" s="35" t="str">
        <f>'FOUND DATA'!E138</f>
        <v/>
      </c>
      <c r="E160" s="36" t="str">
        <f>'FOUND DATA'!F138</f>
        <v/>
      </c>
      <c r="F160" s="35" t="str">
        <f>'FOUND DATA'!G138</f>
        <v/>
      </c>
      <c r="G160" s="36" t="str">
        <f>'FOUND DATA'!H138</f>
        <v/>
      </c>
      <c r="H160" s="35" t="str">
        <f>'FOUND DATA'!I138</f>
        <v/>
      </c>
      <c r="I160" s="36" t="str">
        <f>'FOUND DATA'!J138</f>
        <v/>
      </c>
      <c r="J160" s="35" t="str">
        <f>'FOUND DATA'!K138</f>
        <v/>
      </c>
      <c r="K160" s="35" t="str">
        <f>'FOUND DATA'!L138</f>
        <v/>
      </c>
    </row>
    <row r="161">
      <c r="A161" s="36" t="str">
        <f>'FOUND DATA'!B139</f>
        <v/>
      </c>
      <c r="B161" s="35" t="str">
        <f>'FOUND DATA'!C139</f>
        <v/>
      </c>
      <c r="C161" s="36" t="str">
        <f>'FOUND DATA'!D139</f>
        <v/>
      </c>
      <c r="D161" s="35" t="str">
        <f>'FOUND DATA'!E139</f>
        <v/>
      </c>
      <c r="E161" s="36" t="str">
        <f>'FOUND DATA'!F139</f>
        <v/>
      </c>
      <c r="F161" s="35" t="str">
        <f>'FOUND DATA'!G139</f>
        <v/>
      </c>
      <c r="G161" s="36" t="str">
        <f>'FOUND DATA'!H139</f>
        <v/>
      </c>
      <c r="H161" s="35" t="str">
        <f>'FOUND DATA'!I139</f>
        <v/>
      </c>
      <c r="I161" s="36" t="str">
        <f>'FOUND DATA'!J139</f>
        <v/>
      </c>
      <c r="J161" s="35" t="str">
        <f>'FOUND DATA'!K139</f>
        <v/>
      </c>
      <c r="K161" s="35" t="str">
        <f>'FOUND DATA'!L139</f>
        <v/>
      </c>
    </row>
    <row r="162">
      <c r="A162" s="36" t="str">
        <f>'FOUND DATA'!B140</f>
        <v/>
      </c>
      <c r="B162" s="35" t="str">
        <f>'FOUND DATA'!C140</f>
        <v/>
      </c>
      <c r="C162" s="36" t="str">
        <f>'FOUND DATA'!D140</f>
        <v/>
      </c>
      <c r="D162" s="35" t="str">
        <f>'FOUND DATA'!E140</f>
        <v/>
      </c>
      <c r="E162" s="36" t="str">
        <f>'FOUND DATA'!F140</f>
        <v/>
      </c>
      <c r="F162" s="35" t="str">
        <f>'FOUND DATA'!G140</f>
        <v/>
      </c>
      <c r="G162" s="36" t="str">
        <f>'FOUND DATA'!H140</f>
        <v/>
      </c>
      <c r="H162" s="35" t="str">
        <f>'FOUND DATA'!I140</f>
        <v/>
      </c>
      <c r="I162" s="36" t="str">
        <f>'FOUND DATA'!J140</f>
        <v/>
      </c>
      <c r="J162" s="35" t="str">
        <f>'FOUND DATA'!K140</f>
        <v/>
      </c>
      <c r="K162" s="35" t="str">
        <f>'FOUND DATA'!L140</f>
        <v/>
      </c>
    </row>
    <row r="163">
      <c r="A163" s="36" t="str">
        <f>'FOUND DATA'!B141</f>
        <v/>
      </c>
      <c r="B163" s="35" t="str">
        <f>'FOUND DATA'!C141</f>
        <v/>
      </c>
      <c r="C163" s="36" t="str">
        <f>'FOUND DATA'!D141</f>
        <v/>
      </c>
      <c r="D163" s="35" t="str">
        <f>'FOUND DATA'!E141</f>
        <v/>
      </c>
      <c r="E163" s="36" t="str">
        <f>'FOUND DATA'!F141</f>
        <v/>
      </c>
      <c r="F163" s="35" t="str">
        <f>'FOUND DATA'!G141</f>
        <v/>
      </c>
      <c r="G163" s="36" t="str">
        <f>'FOUND DATA'!H141</f>
        <v/>
      </c>
      <c r="H163" s="35" t="str">
        <f>'FOUND DATA'!I141</f>
        <v/>
      </c>
      <c r="I163" s="36" t="str">
        <f>'FOUND DATA'!J141</f>
        <v/>
      </c>
      <c r="J163" s="35" t="str">
        <f>'FOUND DATA'!K141</f>
        <v/>
      </c>
      <c r="K163" s="35" t="str">
        <f>'FOUND DATA'!L141</f>
        <v/>
      </c>
    </row>
    <row r="164">
      <c r="A164" s="36" t="str">
        <f>'FOUND DATA'!B142</f>
        <v/>
      </c>
      <c r="B164" s="35" t="str">
        <f>'FOUND DATA'!C142</f>
        <v/>
      </c>
      <c r="C164" s="36" t="str">
        <f>'FOUND DATA'!D142</f>
        <v/>
      </c>
      <c r="D164" s="35" t="str">
        <f>'FOUND DATA'!E142</f>
        <v/>
      </c>
      <c r="E164" s="36" t="str">
        <f>'FOUND DATA'!F142</f>
        <v/>
      </c>
      <c r="F164" s="35" t="str">
        <f>'FOUND DATA'!G142</f>
        <v/>
      </c>
      <c r="G164" s="36" t="str">
        <f>'FOUND DATA'!H142</f>
        <v/>
      </c>
      <c r="H164" s="35" t="str">
        <f>'FOUND DATA'!I142</f>
        <v/>
      </c>
      <c r="I164" s="36" t="str">
        <f>'FOUND DATA'!J142</f>
        <v/>
      </c>
      <c r="J164" s="35" t="str">
        <f>'FOUND DATA'!K142</f>
        <v/>
      </c>
      <c r="K164" s="35" t="str">
        <f>'FOUND DATA'!L142</f>
        <v/>
      </c>
    </row>
    <row r="165">
      <c r="A165" s="36" t="str">
        <f>'FOUND DATA'!B143</f>
        <v/>
      </c>
      <c r="B165" s="35" t="str">
        <f>'FOUND DATA'!C143</f>
        <v/>
      </c>
      <c r="C165" s="36" t="str">
        <f>'FOUND DATA'!D143</f>
        <v/>
      </c>
      <c r="D165" s="35" t="str">
        <f>'FOUND DATA'!E143</f>
        <v/>
      </c>
      <c r="E165" s="36" t="str">
        <f>'FOUND DATA'!F143</f>
        <v/>
      </c>
      <c r="F165" s="35" t="str">
        <f>'FOUND DATA'!G143</f>
        <v/>
      </c>
      <c r="G165" s="36" t="str">
        <f>'FOUND DATA'!H143</f>
        <v/>
      </c>
      <c r="H165" s="35" t="str">
        <f>'FOUND DATA'!I143</f>
        <v/>
      </c>
      <c r="I165" s="36" t="str">
        <f>'FOUND DATA'!J143</f>
        <v/>
      </c>
      <c r="J165" s="35" t="str">
        <f>'FOUND DATA'!K143</f>
        <v/>
      </c>
      <c r="K165" s="35" t="str">
        <f>'FOUND DATA'!L143</f>
        <v/>
      </c>
    </row>
    <row r="166">
      <c r="A166" s="36" t="str">
        <f>'FOUND DATA'!B144</f>
        <v/>
      </c>
      <c r="B166" s="35" t="str">
        <f>'FOUND DATA'!C144</f>
        <v/>
      </c>
      <c r="C166" s="36" t="str">
        <f>'FOUND DATA'!D144</f>
        <v/>
      </c>
      <c r="D166" s="35" t="str">
        <f>'FOUND DATA'!E144</f>
        <v/>
      </c>
      <c r="E166" s="36" t="str">
        <f>'FOUND DATA'!F144</f>
        <v/>
      </c>
      <c r="F166" s="35" t="str">
        <f>'FOUND DATA'!G144</f>
        <v/>
      </c>
      <c r="G166" s="36" t="str">
        <f>'FOUND DATA'!H144</f>
        <v/>
      </c>
      <c r="H166" s="35" t="str">
        <f>'FOUND DATA'!I144</f>
        <v/>
      </c>
      <c r="I166" s="36" t="str">
        <f>'FOUND DATA'!J144</f>
        <v/>
      </c>
      <c r="J166" s="35" t="str">
        <f>'FOUND DATA'!K144</f>
        <v/>
      </c>
      <c r="K166" s="35" t="str">
        <f>'FOUND DATA'!L144</f>
        <v/>
      </c>
    </row>
    <row r="167">
      <c r="A167" s="36" t="str">
        <f>'FOUND DATA'!B145</f>
        <v/>
      </c>
      <c r="B167" s="35" t="str">
        <f>'FOUND DATA'!C145</f>
        <v/>
      </c>
      <c r="C167" s="36" t="str">
        <f>'FOUND DATA'!D145</f>
        <v/>
      </c>
      <c r="D167" s="35" t="str">
        <f>'FOUND DATA'!E145</f>
        <v/>
      </c>
      <c r="E167" s="36" t="str">
        <f>'FOUND DATA'!F145</f>
        <v/>
      </c>
      <c r="F167" s="35" t="str">
        <f>'FOUND DATA'!G145</f>
        <v/>
      </c>
      <c r="G167" s="36" t="str">
        <f>'FOUND DATA'!H145</f>
        <v/>
      </c>
      <c r="H167" s="35" t="str">
        <f>'FOUND DATA'!I145</f>
        <v/>
      </c>
      <c r="I167" s="36" t="str">
        <f>'FOUND DATA'!J145</f>
        <v/>
      </c>
      <c r="J167" s="35" t="str">
        <f>'FOUND DATA'!K145</f>
        <v/>
      </c>
      <c r="K167" s="35" t="str">
        <f>'FOUND DATA'!L145</f>
        <v/>
      </c>
    </row>
    <row r="168">
      <c r="A168" s="36" t="str">
        <f>'FOUND DATA'!B146</f>
        <v/>
      </c>
      <c r="B168" s="35" t="str">
        <f>'FOUND DATA'!C146</f>
        <v/>
      </c>
      <c r="C168" s="36" t="str">
        <f>'FOUND DATA'!D146</f>
        <v/>
      </c>
      <c r="D168" s="35" t="str">
        <f>'FOUND DATA'!E146</f>
        <v/>
      </c>
      <c r="E168" s="36" t="str">
        <f>'FOUND DATA'!F146</f>
        <v/>
      </c>
      <c r="F168" s="35" t="str">
        <f>'FOUND DATA'!G146</f>
        <v/>
      </c>
      <c r="G168" s="36" t="str">
        <f>'FOUND DATA'!H146</f>
        <v/>
      </c>
      <c r="H168" s="35" t="str">
        <f>'FOUND DATA'!I146</f>
        <v/>
      </c>
      <c r="I168" s="36" t="str">
        <f>'FOUND DATA'!J146</f>
        <v/>
      </c>
      <c r="J168" s="35" t="str">
        <f>'FOUND DATA'!K146</f>
        <v/>
      </c>
      <c r="K168" s="35" t="str">
        <f>'FOUND DATA'!L146</f>
        <v/>
      </c>
    </row>
    <row r="169">
      <c r="A169" s="36" t="str">
        <f>'FOUND DATA'!B147</f>
        <v/>
      </c>
      <c r="B169" s="35" t="str">
        <f>'FOUND DATA'!C147</f>
        <v/>
      </c>
      <c r="C169" s="36" t="str">
        <f>'FOUND DATA'!D147</f>
        <v/>
      </c>
      <c r="D169" s="35" t="str">
        <f>'FOUND DATA'!E147</f>
        <v/>
      </c>
      <c r="E169" s="36" t="str">
        <f>'FOUND DATA'!F147</f>
        <v/>
      </c>
      <c r="F169" s="35" t="str">
        <f>'FOUND DATA'!G147</f>
        <v/>
      </c>
      <c r="G169" s="36" t="str">
        <f>'FOUND DATA'!H147</f>
        <v/>
      </c>
      <c r="H169" s="35" t="str">
        <f>'FOUND DATA'!I147</f>
        <v/>
      </c>
      <c r="I169" s="36" t="str">
        <f>'FOUND DATA'!J147</f>
        <v/>
      </c>
      <c r="J169" s="35" t="str">
        <f>'FOUND DATA'!K147</f>
        <v/>
      </c>
      <c r="K169" s="35" t="str">
        <f>'FOUND DATA'!L147</f>
        <v/>
      </c>
    </row>
    <row r="170">
      <c r="A170" s="36" t="str">
        <f>'FOUND DATA'!B148</f>
        <v/>
      </c>
      <c r="B170" s="35" t="str">
        <f>'FOUND DATA'!C148</f>
        <v/>
      </c>
      <c r="C170" s="36" t="str">
        <f>'FOUND DATA'!D148</f>
        <v/>
      </c>
      <c r="D170" s="35" t="str">
        <f>'FOUND DATA'!E148</f>
        <v/>
      </c>
      <c r="E170" s="36" t="str">
        <f>'FOUND DATA'!F148</f>
        <v/>
      </c>
      <c r="F170" s="35" t="str">
        <f>'FOUND DATA'!G148</f>
        <v/>
      </c>
      <c r="G170" s="36" t="str">
        <f>'FOUND DATA'!H148</f>
        <v/>
      </c>
      <c r="H170" s="35" t="str">
        <f>'FOUND DATA'!I148</f>
        <v/>
      </c>
      <c r="I170" s="36" t="str">
        <f>'FOUND DATA'!J148</f>
        <v/>
      </c>
      <c r="J170" s="35" t="str">
        <f>'FOUND DATA'!K148</f>
        <v/>
      </c>
      <c r="K170" s="35" t="str">
        <f>'FOUND DATA'!L148</f>
        <v/>
      </c>
    </row>
    <row r="171">
      <c r="A171" s="36" t="str">
        <f>'FOUND DATA'!B149</f>
        <v/>
      </c>
      <c r="B171" s="35" t="str">
        <f>'FOUND DATA'!C149</f>
        <v/>
      </c>
      <c r="C171" s="36" t="str">
        <f>'FOUND DATA'!D149</f>
        <v/>
      </c>
      <c r="D171" s="35" t="str">
        <f>'FOUND DATA'!E149</f>
        <v/>
      </c>
      <c r="E171" s="36" t="str">
        <f>'FOUND DATA'!F149</f>
        <v/>
      </c>
      <c r="F171" s="35" t="str">
        <f>'FOUND DATA'!G149</f>
        <v/>
      </c>
      <c r="G171" s="36" t="str">
        <f>'FOUND DATA'!H149</f>
        <v/>
      </c>
      <c r="H171" s="35" t="str">
        <f>'FOUND DATA'!I149</f>
        <v/>
      </c>
      <c r="I171" s="36" t="str">
        <f>'FOUND DATA'!J149</f>
        <v/>
      </c>
      <c r="J171" s="35" t="str">
        <f>'FOUND DATA'!K149</f>
        <v/>
      </c>
      <c r="K171" s="35" t="str">
        <f>'FOUND DATA'!L149</f>
        <v/>
      </c>
    </row>
    <row r="172">
      <c r="A172" s="36" t="str">
        <f>'FOUND DATA'!B150</f>
        <v/>
      </c>
      <c r="B172" s="35" t="str">
        <f>'FOUND DATA'!C150</f>
        <v/>
      </c>
      <c r="C172" s="36" t="str">
        <f>'FOUND DATA'!D150</f>
        <v/>
      </c>
      <c r="D172" s="35" t="str">
        <f>'FOUND DATA'!E150</f>
        <v/>
      </c>
      <c r="E172" s="36" t="str">
        <f>'FOUND DATA'!F150</f>
        <v/>
      </c>
      <c r="F172" s="35" t="str">
        <f>'FOUND DATA'!G150</f>
        <v/>
      </c>
      <c r="G172" s="36" t="str">
        <f>'FOUND DATA'!H150</f>
        <v/>
      </c>
      <c r="H172" s="35" t="str">
        <f>'FOUND DATA'!I150</f>
        <v/>
      </c>
      <c r="I172" s="36" t="str">
        <f>'FOUND DATA'!J150</f>
        <v/>
      </c>
      <c r="J172" s="35" t="str">
        <f>'FOUND DATA'!K150</f>
        <v/>
      </c>
      <c r="K172" s="35" t="str">
        <f>'FOUND DATA'!L150</f>
        <v/>
      </c>
    </row>
    <row r="173">
      <c r="A173" s="36" t="str">
        <f>'FOUND DATA'!B151</f>
        <v/>
      </c>
      <c r="B173" s="35" t="str">
        <f>'FOUND DATA'!C151</f>
        <v/>
      </c>
      <c r="C173" s="36" t="str">
        <f>'FOUND DATA'!D151</f>
        <v/>
      </c>
      <c r="D173" s="35" t="str">
        <f>'FOUND DATA'!E151</f>
        <v/>
      </c>
      <c r="E173" s="36" t="str">
        <f>'FOUND DATA'!F151</f>
        <v/>
      </c>
      <c r="F173" s="35" t="str">
        <f>'FOUND DATA'!G151</f>
        <v/>
      </c>
      <c r="G173" s="36" t="str">
        <f>'FOUND DATA'!H151</f>
        <v/>
      </c>
      <c r="H173" s="35" t="str">
        <f>'FOUND DATA'!I151</f>
        <v/>
      </c>
      <c r="I173" s="36" t="str">
        <f>'FOUND DATA'!J151</f>
        <v/>
      </c>
      <c r="J173" s="35" t="str">
        <f>'FOUND DATA'!K151</f>
        <v/>
      </c>
      <c r="K173" s="35" t="str">
        <f>'FOUND DATA'!L151</f>
        <v/>
      </c>
    </row>
    <row r="174">
      <c r="A174" s="36" t="str">
        <f>'FOUND DATA'!B152</f>
        <v/>
      </c>
      <c r="B174" s="35" t="str">
        <f>'FOUND DATA'!C152</f>
        <v/>
      </c>
      <c r="C174" s="36" t="str">
        <f>'FOUND DATA'!D152</f>
        <v/>
      </c>
      <c r="D174" s="35" t="str">
        <f>'FOUND DATA'!E152</f>
        <v/>
      </c>
      <c r="E174" s="36" t="str">
        <f>'FOUND DATA'!F152</f>
        <v/>
      </c>
      <c r="F174" s="35" t="str">
        <f>'FOUND DATA'!G152</f>
        <v/>
      </c>
      <c r="G174" s="36" t="str">
        <f>'FOUND DATA'!H152</f>
        <v/>
      </c>
      <c r="H174" s="35" t="str">
        <f>'FOUND DATA'!I152</f>
        <v/>
      </c>
      <c r="I174" s="36" t="str">
        <f>'FOUND DATA'!J152</f>
        <v/>
      </c>
      <c r="J174" s="35" t="str">
        <f>'FOUND DATA'!K152</f>
        <v/>
      </c>
      <c r="K174" s="35" t="str">
        <f>'FOUND DATA'!L152</f>
        <v/>
      </c>
    </row>
    <row r="175">
      <c r="A175" s="36" t="str">
        <f>'FOUND DATA'!B153</f>
        <v/>
      </c>
      <c r="B175" s="35" t="str">
        <f>'FOUND DATA'!C153</f>
        <v/>
      </c>
      <c r="C175" s="36" t="str">
        <f>'FOUND DATA'!D153</f>
        <v/>
      </c>
      <c r="D175" s="35" t="str">
        <f>'FOUND DATA'!E153</f>
        <v/>
      </c>
      <c r="E175" s="36" t="str">
        <f>'FOUND DATA'!F153</f>
        <v/>
      </c>
      <c r="F175" s="35" t="str">
        <f>'FOUND DATA'!G153</f>
        <v/>
      </c>
      <c r="G175" s="36" t="str">
        <f>'FOUND DATA'!H153</f>
        <v/>
      </c>
      <c r="H175" s="35" t="str">
        <f>'FOUND DATA'!I153</f>
        <v/>
      </c>
      <c r="I175" s="36" t="str">
        <f>'FOUND DATA'!J153</f>
        <v/>
      </c>
      <c r="J175" s="35" t="str">
        <f>'FOUND DATA'!K153</f>
        <v/>
      </c>
      <c r="K175" s="35" t="str">
        <f>'FOUND DATA'!L153</f>
        <v/>
      </c>
    </row>
    <row r="176">
      <c r="A176" s="36" t="str">
        <f>'FOUND DATA'!B154</f>
        <v/>
      </c>
      <c r="B176" s="35" t="str">
        <f>'FOUND DATA'!C154</f>
        <v/>
      </c>
      <c r="C176" s="36" t="str">
        <f>'FOUND DATA'!D154</f>
        <v/>
      </c>
      <c r="D176" s="35" t="str">
        <f>'FOUND DATA'!E154</f>
        <v/>
      </c>
      <c r="E176" s="36" t="str">
        <f>'FOUND DATA'!F154</f>
        <v/>
      </c>
      <c r="F176" s="35" t="str">
        <f>'FOUND DATA'!G154</f>
        <v/>
      </c>
      <c r="G176" s="36" t="str">
        <f>'FOUND DATA'!H154</f>
        <v/>
      </c>
      <c r="H176" s="35" t="str">
        <f>'FOUND DATA'!I154</f>
        <v/>
      </c>
      <c r="I176" s="36" t="str">
        <f>'FOUND DATA'!J154</f>
        <v/>
      </c>
      <c r="J176" s="35" t="str">
        <f>'FOUND DATA'!K154</f>
        <v/>
      </c>
      <c r="K176" s="35" t="str">
        <f>'FOUND DATA'!L154</f>
        <v/>
      </c>
    </row>
    <row r="177">
      <c r="A177" s="36" t="str">
        <f>'FOUND DATA'!B155</f>
        <v/>
      </c>
      <c r="B177" s="35" t="str">
        <f>'FOUND DATA'!C155</f>
        <v/>
      </c>
      <c r="C177" s="36" t="str">
        <f>'FOUND DATA'!D155</f>
        <v/>
      </c>
      <c r="D177" s="35" t="str">
        <f>'FOUND DATA'!E155</f>
        <v/>
      </c>
      <c r="E177" s="36" t="str">
        <f>'FOUND DATA'!F155</f>
        <v/>
      </c>
      <c r="F177" s="35" t="str">
        <f>'FOUND DATA'!G155</f>
        <v/>
      </c>
      <c r="G177" s="36" t="str">
        <f>'FOUND DATA'!H155</f>
        <v/>
      </c>
      <c r="H177" s="35" t="str">
        <f>'FOUND DATA'!I155</f>
        <v/>
      </c>
      <c r="I177" s="36" t="str">
        <f>'FOUND DATA'!J155</f>
        <v/>
      </c>
      <c r="J177" s="35" t="str">
        <f>'FOUND DATA'!K155</f>
        <v/>
      </c>
      <c r="K177" s="35" t="str">
        <f>'FOUND DATA'!L155</f>
        <v/>
      </c>
    </row>
    <row r="178">
      <c r="A178" s="36" t="str">
        <f>'FOUND DATA'!B156</f>
        <v/>
      </c>
      <c r="B178" s="35" t="str">
        <f>'FOUND DATA'!C156</f>
        <v/>
      </c>
      <c r="C178" s="36" t="str">
        <f>'FOUND DATA'!D156</f>
        <v/>
      </c>
      <c r="D178" s="35" t="str">
        <f>'FOUND DATA'!E156</f>
        <v/>
      </c>
      <c r="E178" s="36" t="str">
        <f>'FOUND DATA'!F156</f>
        <v/>
      </c>
      <c r="F178" s="35" t="str">
        <f>'FOUND DATA'!G156</f>
        <v/>
      </c>
      <c r="G178" s="36" t="str">
        <f>'FOUND DATA'!H156</f>
        <v/>
      </c>
      <c r="H178" s="35" t="str">
        <f>'FOUND DATA'!I156</f>
        <v/>
      </c>
      <c r="I178" s="36" t="str">
        <f>'FOUND DATA'!J156</f>
        <v/>
      </c>
      <c r="J178" s="35" t="str">
        <f>'FOUND DATA'!K156</f>
        <v/>
      </c>
      <c r="K178" s="35" t="str">
        <f>'FOUND DATA'!L156</f>
        <v/>
      </c>
    </row>
    <row r="179">
      <c r="A179" s="36" t="str">
        <f>'FOUND DATA'!B157</f>
        <v/>
      </c>
      <c r="B179" s="35" t="str">
        <f>'FOUND DATA'!C157</f>
        <v/>
      </c>
      <c r="C179" s="36" t="str">
        <f>'FOUND DATA'!D157</f>
        <v/>
      </c>
      <c r="D179" s="35" t="str">
        <f>'FOUND DATA'!E157</f>
        <v/>
      </c>
      <c r="E179" s="36" t="str">
        <f>'FOUND DATA'!F157</f>
        <v/>
      </c>
      <c r="F179" s="35" t="str">
        <f>'FOUND DATA'!G157</f>
        <v/>
      </c>
      <c r="G179" s="36" t="str">
        <f>'FOUND DATA'!H157</f>
        <v/>
      </c>
      <c r="H179" s="35" t="str">
        <f>'FOUND DATA'!I157</f>
        <v/>
      </c>
      <c r="I179" s="36" t="str">
        <f>'FOUND DATA'!J157</f>
        <v/>
      </c>
      <c r="J179" s="35" t="str">
        <f>'FOUND DATA'!K157</f>
        <v/>
      </c>
      <c r="K179" s="35" t="str">
        <f>'FOUND DATA'!L157</f>
        <v/>
      </c>
    </row>
    <row r="180">
      <c r="A180" s="36" t="str">
        <f>'FOUND DATA'!B158</f>
        <v/>
      </c>
      <c r="B180" s="35" t="str">
        <f>'FOUND DATA'!C158</f>
        <v/>
      </c>
      <c r="C180" s="36" t="str">
        <f>'FOUND DATA'!D158</f>
        <v/>
      </c>
      <c r="D180" s="35" t="str">
        <f>'FOUND DATA'!E158</f>
        <v/>
      </c>
      <c r="E180" s="36" t="str">
        <f>'FOUND DATA'!F158</f>
        <v/>
      </c>
      <c r="F180" s="35" t="str">
        <f>'FOUND DATA'!G158</f>
        <v/>
      </c>
      <c r="G180" s="36" t="str">
        <f>'FOUND DATA'!H158</f>
        <v/>
      </c>
      <c r="H180" s="35" t="str">
        <f>'FOUND DATA'!I158</f>
        <v/>
      </c>
      <c r="I180" s="36" t="str">
        <f>'FOUND DATA'!J158</f>
        <v/>
      </c>
      <c r="J180" s="35" t="str">
        <f>'FOUND DATA'!K158</f>
        <v/>
      </c>
      <c r="K180" s="35" t="str">
        <f>'FOUND DATA'!L158</f>
        <v/>
      </c>
    </row>
    <row r="181">
      <c r="A181" s="36" t="str">
        <f>'FOUND DATA'!B159</f>
        <v/>
      </c>
      <c r="B181" s="35" t="str">
        <f>'FOUND DATA'!C159</f>
        <v/>
      </c>
      <c r="C181" s="36" t="str">
        <f>'FOUND DATA'!D159</f>
        <v/>
      </c>
      <c r="D181" s="35" t="str">
        <f>'FOUND DATA'!E159</f>
        <v/>
      </c>
      <c r="E181" s="36" t="str">
        <f>'FOUND DATA'!F159</f>
        <v/>
      </c>
      <c r="F181" s="35" t="str">
        <f>'FOUND DATA'!G159</f>
        <v/>
      </c>
      <c r="G181" s="36" t="str">
        <f>'FOUND DATA'!H159</f>
        <v/>
      </c>
      <c r="H181" s="35" t="str">
        <f>'FOUND DATA'!I159</f>
        <v/>
      </c>
      <c r="I181" s="36" t="str">
        <f>'FOUND DATA'!J159</f>
        <v/>
      </c>
      <c r="J181" s="35" t="str">
        <f>'FOUND DATA'!K159</f>
        <v/>
      </c>
      <c r="K181" s="35" t="str">
        <f>'FOUND DATA'!L159</f>
        <v/>
      </c>
    </row>
    <row r="182">
      <c r="A182" s="36" t="str">
        <f>'FOUND DATA'!B160</f>
        <v/>
      </c>
      <c r="B182" s="35" t="str">
        <f>'FOUND DATA'!C160</f>
        <v/>
      </c>
      <c r="C182" s="36" t="str">
        <f>'FOUND DATA'!D160</f>
        <v/>
      </c>
      <c r="D182" s="35" t="str">
        <f>'FOUND DATA'!E160</f>
        <v/>
      </c>
      <c r="E182" s="36" t="str">
        <f>'FOUND DATA'!F160</f>
        <v/>
      </c>
      <c r="F182" s="35" t="str">
        <f>'FOUND DATA'!G160</f>
        <v/>
      </c>
      <c r="G182" s="36" t="str">
        <f>'FOUND DATA'!H160</f>
        <v/>
      </c>
      <c r="H182" s="35" t="str">
        <f>'FOUND DATA'!I160</f>
        <v/>
      </c>
      <c r="I182" s="36" t="str">
        <f>'FOUND DATA'!J160</f>
        <v/>
      </c>
      <c r="J182" s="35" t="str">
        <f>'FOUND DATA'!K160</f>
        <v/>
      </c>
      <c r="K182" s="35" t="str">
        <f>'FOUND DATA'!L160</f>
        <v/>
      </c>
    </row>
    <row r="183">
      <c r="A183" s="36" t="str">
        <f>'FOUND DATA'!B161</f>
        <v/>
      </c>
      <c r="B183" s="35" t="str">
        <f>'FOUND DATA'!C161</f>
        <v/>
      </c>
      <c r="C183" s="36" t="str">
        <f>'FOUND DATA'!D161</f>
        <v/>
      </c>
      <c r="D183" s="35" t="str">
        <f>'FOUND DATA'!E161</f>
        <v/>
      </c>
      <c r="E183" s="36" t="str">
        <f>'FOUND DATA'!F161</f>
        <v/>
      </c>
      <c r="F183" s="35" t="str">
        <f>'FOUND DATA'!G161</f>
        <v/>
      </c>
      <c r="G183" s="36" t="str">
        <f>'FOUND DATA'!H161</f>
        <v/>
      </c>
      <c r="H183" s="35" t="str">
        <f>'FOUND DATA'!I161</f>
        <v/>
      </c>
      <c r="I183" s="36" t="str">
        <f>'FOUND DATA'!J161</f>
        <v/>
      </c>
      <c r="J183" s="35" t="str">
        <f>'FOUND DATA'!K161</f>
        <v/>
      </c>
      <c r="K183" s="35" t="str">
        <f>'FOUND DATA'!L161</f>
        <v/>
      </c>
    </row>
    <row r="184">
      <c r="A184" s="36" t="str">
        <f>'FOUND DATA'!B162</f>
        <v/>
      </c>
      <c r="B184" s="35" t="str">
        <f>'FOUND DATA'!C162</f>
        <v/>
      </c>
      <c r="C184" s="36" t="str">
        <f>'FOUND DATA'!D162</f>
        <v/>
      </c>
      <c r="D184" s="35" t="str">
        <f>'FOUND DATA'!E162</f>
        <v/>
      </c>
      <c r="E184" s="36" t="str">
        <f>'FOUND DATA'!F162</f>
        <v/>
      </c>
      <c r="F184" s="35" t="str">
        <f>'FOUND DATA'!G162</f>
        <v/>
      </c>
      <c r="G184" s="36" t="str">
        <f>'FOUND DATA'!H162</f>
        <v/>
      </c>
      <c r="H184" s="35" t="str">
        <f>'FOUND DATA'!I162</f>
        <v/>
      </c>
      <c r="I184" s="36" t="str">
        <f>'FOUND DATA'!J162</f>
        <v/>
      </c>
      <c r="J184" s="35" t="str">
        <f>'FOUND DATA'!K162</f>
        <v/>
      </c>
      <c r="K184" s="35" t="str">
        <f>'FOUND DATA'!L162</f>
        <v/>
      </c>
    </row>
    <row r="185">
      <c r="A185" s="36" t="str">
        <f>'FOUND DATA'!B163</f>
        <v/>
      </c>
      <c r="B185" s="35" t="str">
        <f>'FOUND DATA'!C163</f>
        <v/>
      </c>
      <c r="C185" s="36" t="str">
        <f>'FOUND DATA'!D163</f>
        <v/>
      </c>
      <c r="D185" s="35" t="str">
        <f>'FOUND DATA'!E163</f>
        <v/>
      </c>
      <c r="E185" s="36" t="str">
        <f>'FOUND DATA'!F163</f>
        <v/>
      </c>
      <c r="F185" s="35" t="str">
        <f>'FOUND DATA'!G163</f>
        <v/>
      </c>
      <c r="G185" s="36" t="str">
        <f>'FOUND DATA'!H163</f>
        <v/>
      </c>
      <c r="H185" s="35" t="str">
        <f>'FOUND DATA'!I163</f>
        <v/>
      </c>
      <c r="I185" s="36" t="str">
        <f>'FOUND DATA'!J163</f>
        <v/>
      </c>
      <c r="J185" s="35" t="str">
        <f>'FOUND DATA'!K163</f>
        <v/>
      </c>
      <c r="K185" s="35" t="str">
        <f>'FOUND DATA'!L163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DATA'!B4</f>
        <v># HWs</v>
      </c>
      <c r="B1" s="35" t="str">
        <f>'FOUND DATA'!C4</f>
        <v>HW Weight</v>
      </c>
      <c r="C1" s="36" t="str">
        <f>'FOUND DATA'!D4</f>
        <v># Project Assignments</v>
      </c>
      <c r="D1" s="35" t="str">
        <f>'FOUND DATA'!E4</f>
        <v>Project Weight</v>
      </c>
      <c r="E1" s="36" t="str">
        <f>'FOUND DATA'!F4</f>
        <v># Final exam</v>
      </c>
      <c r="F1" s="35" t="str">
        <f>'FOUND DATA'!G4</f>
        <v>Final Weight</v>
      </c>
    </row>
    <row r="2">
      <c r="A2" s="36">
        <f>'FOUND DATA'!B5</f>
        <v>5</v>
      </c>
      <c r="B2" s="35">
        <f>'FOUND DATA'!C5</f>
        <v>0.2</v>
      </c>
      <c r="C2" s="36">
        <f>'FOUND DATA'!D5</f>
        <v>10</v>
      </c>
      <c r="D2" s="35">
        <f>'FOUND DATA'!E5</f>
        <v>0.6</v>
      </c>
      <c r="E2" s="36">
        <f>'FOUND DATA'!F5</f>
        <v>0</v>
      </c>
      <c r="F2" s="35">
        <f>'FOUND DATA'!G5</f>
        <v>0</v>
      </c>
    </row>
    <row r="3">
      <c r="A3" s="36">
        <f>'FOUND DATA'!B6</f>
        <v>8</v>
      </c>
      <c r="B3" s="35">
        <f>'FOUND DATA'!C6</f>
        <v>0.32</v>
      </c>
      <c r="C3" s="36">
        <f>'FOUND DATA'!D6</f>
        <v>4</v>
      </c>
      <c r="D3" s="35">
        <f>'FOUND DATA'!E6</f>
        <v>0.16</v>
      </c>
      <c r="E3" s="36">
        <f>'FOUND DATA'!F6</f>
        <v>1</v>
      </c>
      <c r="F3" s="35">
        <f>'FOUND DATA'!G6</f>
        <v>0.2</v>
      </c>
    </row>
    <row r="4">
      <c r="A4" s="36">
        <f>'FOUND DATA'!B7</f>
        <v>8</v>
      </c>
      <c r="B4" s="35">
        <f>'FOUND DATA'!C7</f>
        <v>0.32</v>
      </c>
      <c r="C4" s="36">
        <f>'FOUND DATA'!D7</f>
        <v>4</v>
      </c>
      <c r="D4" s="35">
        <f>'FOUND DATA'!E7</f>
        <v>0.16</v>
      </c>
      <c r="E4" s="36">
        <f>'FOUND DATA'!F7</f>
        <v>1</v>
      </c>
      <c r="F4" s="35">
        <f>'FOUND DATA'!G7</f>
        <v>0.2</v>
      </c>
    </row>
    <row r="5">
      <c r="A5" s="36">
        <f>'FOUND DATA'!B8</f>
        <v>8</v>
      </c>
      <c r="B5" s="35">
        <f>'FOUND DATA'!C8</f>
        <v>0.3</v>
      </c>
      <c r="C5" s="36">
        <f>'FOUND DATA'!D8</f>
        <v>6</v>
      </c>
      <c r="D5" s="35">
        <f>'FOUND DATA'!E8</f>
        <v>0.2</v>
      </c>
      <c r="E5" s="36">
        <f>'FOUND DATA'!F8</f>
        <v>0</v>
      </c>
      <c r="F5" s="35">
        <f>'FOUND DATA'!G8</f>
        <v>0</v>
      </c>
    </row>
    <row r="6">
      <c r="A6" s="36">
        <f>'FOUND DATA'!B9</f>
        <v>16</v>
      </c>
      <c r="B6" s="35">
        <f>'FOUND DATA'!C9</f>
        <v>0.5</v>
      </c>
      <c r="C6" s="36">
        <f>'FOUND DATA'!D9</f>
        <v>6</v>
      </c>
      <c r="D6" s="35">
        <f>'FOUND DATA'!E9</f>
        <v>0.2</v>
      </c>
      <c r="E6" s="36">
        <f>'FOUND DATA'!F9</f>
        <v>0</v>
      </c>
      <c r="F6" s="35">
        <f>'FOUND DATA'!G9</f>
        <v>0</v>
      </c>
    </row>
    <row r="7">
      <c r="A7" s="36">
        <f>'FOUND DATA'!B10</f>
        <v>9</v>
      </c>
      <c r="B7" s="35">
        <f>'FOUND DATA'!C10</f>
        <v>0.36</v>
      </c>
      <c r="C7" s="36">
        <f>'FOUND DATA'!D10</f>
        <v>0</v>
      </c>
      <c r="D7" s="35">
        <f>'FOUND DATA'!E10</f>
        <v>0</v>
      </c>
      <c r="E7" s="36">
        <f>'FOUND DATA'!F10</f>
        <v>0</v>
      </c>
      <c r="F7" s="35">
        <f>'FOUND DATA'!G10</f>
        <v>0</v>
      </c>
    </row>
    <row r="8">
      <c r="A8" s="36">
        <f>'FOUND DATA'!B11</f>
        <v>11</v>
      </c>
      <c r="B8" s="35">
        <f>'FOUND DATA'!C11</f>
        <v>0.25</v>
      </c>
      <c r="C8" s="36">
        <f>'FOUND DATA'!D11</f>
        <v>5</v>
      </c>
      <c r="D8" s="35">
        <f>'FOUND DATA'!E11</f>
        <v>0.15</v>
      </c>
      <c r="E8" s="36">
        <f>'FOUND DATA'!F11</f>
        <v>1</v>
      </c>
      <c r="F8" s="35">
        <f>'FOUND DATA'!G11</f>
        <v>0.2</v>
      </c>
    </row>
    <row r="9">
      <c r="A9" s="36">
        <f>'FOUND DATA'!B12</f>
        <v>11</v>
      </c>
      <c r="B9" s="35">
        <f>'FOUND DATA'!C12</f>
        <v>0.25</v>
      </c>
      <c r="C9" s="36">
        <f>'FOUND DATA'!D12</f>
        <v>4</v>
      </c>
      <c r="D9" s="35">
        <f>'FOUND DATA'!E12</f>
        <v>0.15</v>
      </c>
      <c r="E9" s="36">
        <f>'FOUND DATA'!F12</f>
        <v>1</v>
      </c>
      <c r="F9" s="35">
        <f>'FOUND DATA'!G12</f>
        <v>0.2</v>
      </c>
    </row>
    <row r="10">
      <c r="A10" s="36">
        <f>'FOUND DATA'!B13</f>
        <v>10</v>
      </c>
      <c r="B10" s="35">
        <f>'FOUND DATA'!C13</f>
        <v>0.25</v>
      </c>
      <c r="C10" s="36">
        <f>'FOUND DATA'!D13</f>
        <v>9</v>
      </c>
      <c r="D10" s="35">
        <f>'FOUND DATA'!E13</f>
        <v>0.15</v>
      </c>
      <c r="E10" s="36">
        <f>'FOUND DATA'!F13</f>
        <v>1</v>
      </c>
      <c r="F10" s="35">
        <f>'FOUND DATA'!G13</f>
        <v>0.2</v>
      </c>
    </row>
    <row r="11">
      <c r="A11" s="36">
        <f>'FOUND DATA'!B14</f>
        <v>10</v>
      </c>
      <c r="B11" s="35">
        <f>'FOUND DATA'!C14</f>
        <v>0.25</v>
      </c>
      <c r="C11" s="36">
        <f>'FOUND DATA'!D14</f>
        <v>6</v>
      </c>
      <c r="D11" s="35">
        <f>'FOUND DATA'!E14</f>
        <v>0.15</v>
      </c>
      <c r="E11" s="36">
        <f>'FOUND DATA'!F14</f>
        <v>1</v>
      </c>
      <c r="F11" s="35">
        <f>'FOUND DATA'!G14</f>
        <v>0.2</v>
      </c>
    </row>
    <row r="12">
      <c r="A12" s="36">
        <f>'FOUND DATA'!B15</f>
        <v>10</v>
      </c>
      <c r="B12" s="35">
        <f>'FOUND DATA'!C15</f>
        <v>0.25</v>
      </c>
      <c r="C12" s="36">
        <f>'FOUND DATA'!D15</f>
        <v>1</v>
      </c>
      <c r="D12" s="35">
        <f>'FOUND DATA'!E15</f>
        <v>0.1</v>
      </c>
      <c r="E12" s="36">
        <f>'FOUND DATA'!F15</f>
        <v>1</v>
      </c>
      <c r="F12" s="35">
        <f>'FOUND DATA'!G15</f>
        <v>0.2</v>
      </c>
    </row>
    <row r="13">
      <c r="A13" s="36">
        <f>'FOUND DATA'!B16</f>
        <v>10</v>
      </c>
      <c r="B13" s="35">
        <f>'FOUND DATA'!C16</f>
        <v>0.25</v>
      </c>
      <c r="C13" s="36">
        <f>'FOUND DATA'!D16</f>
        <v>1</v>
      </c>
      <c r="D13" s="35">
        <f>'FOUND DATA'!E16</f>
        <v>0.1</v>
      </c>
      <c r="E13" s="36">
        <f>'FOUND DATA'!F16</f>
        <v>1</v>
      </c>
      <c r="F13" s="35">
        <f>'FOUND DATA'!G16</f>
        <v>0.2</v>
      </c>
    </row>
    <row r="14">
      <c r="A14" s="36">
        <f>'FOUND DATA'!B17</f>
        <v>12</v>
      </c>
      <c r="B14" s="35">
        <f>'FOUND DATA'!C17</f>
        <v>0.45</v>
      </c>
      <c r="C14" s="36">
        <f>'FOUND DATA'!D17</f>
        <v>11</v>
      </c>
      <c r="D14" s="35">
        <f>'FOUND DATA'!E17</f>
        <v>0.5</v>
      </c>
      <c r="E14" s="36">
        <f>'FOUND DATA'!F17</f>
        <v>0</v>
      </c>
      <c r="F14" s="35">
        <f>'FOUND DATA'!G17</f>
        <v>0</v>
      </c>
    </row>
    <row r="15">
      <c r="A15" s="36">
        <f>'FOUND DATA'!B18</f>
        <v>8</v>
      </c>
      <c r="B15" s="35">
        <f>'FOUND DATA'!C18</f>
        <v>0.15</v>
      </c>
      <c r="C15" s="36">
        <f>'FOUND DATA'!D18</f>
        <v>1</v>
      </c>
      <c r="D15" s="35">
        <f>'FOUND DATA'!E18</f>
        <v>0.1</v>
      </c>
      <c r="E15" s="36">
        <f>'FOUND DATA'!F18</f>
        <v>1</v>
      </c>
      <c r="F15" s="35">
        <f>'FOUND DATA'!G18</f>
        <v>0.22</v>
      </c>
    </row>
    <row r="16">
      <c r="A16" s="36">
        <f>'FOUND DATA'!B19</f>
        <v>4</v>
      </c>
      <c r="B16" s="35">
        <f>'FOUND DATA'!C19</f>
        <v>0.2</v>
      </c>
      <c r="C16" s="36">
        <f>'FOUND DATA'!D19</f>
        <v>0</v>
      </c>
      <c r="D16" s="35">
        <f>'FOUND DATA'!E19</f>
        <v>0</v>
      </c>
      <c r="E16" s="36">
        <f>'FOUND DATA'!F19</f>
        <v>0</v>
      </c>
      <c r="F16" s="35">
        <f>'FOUND DATA'!G19</f>
        <v>0</v>
      </c>
    </row>
    <row r="17">
      <c r="A17" s="36">
        <f>'FOUND DATA'!B20</f>
        <v>6</v>
      </c>
      <c r="B17" s="35">
        <f>'FOUND DATA'!C20</f>
        <v>0.15</v>
      </c>
      <c r="C17" s="36">
        <f>'FOUND DATA'!D20</f>
        <v>0</v>
      </c>
      <c r="D17" s="35">
        <f>'FOUND DATA'!E20</f>
        <v>0</v>
      </c>
      <c r="E17" s="36">
        <f>'FOUND DATA'!F20</f>
        <v>1</v>
      </c>
      <c r="F17" s="35">
        <f>'FOUND DATA'!G20</f>
        <v>0.25</v>
      </c>
    </row>
    <row r="18">
      <c r="A18" s="36">
        <f>'FOUND DATA'!B21</f>
        <v>6</v>
      </c>
      <c r="B18" s="35">
        <f>'FOUND DATA'!C21</f>
        <v>0.15</v>
      </c>
      <c r="C18" s="36">
        <f>'FOUND DATA'!D21</f>
        <v>0</v>
      </c>
      <c r="D18" s="35">
        <f>'FOUND DATA'!E21</f>
        <v>0</v>
      </c>
      <c r="E18" s="36">
        <f>'FOUND DATA'!F21</f>
        <v>1</v>
      </c>
      <c r="F18" s="35">
        <f>'FOUND DATA'!G21</f>
        <v>0.25</v>
      </c>
    </row>
    <row r="19">
      <c r="A19" s="36">
        <f>'FOUND DATA'!B22</f>
        <v>0</v>
      </c>
      <c r="B19" s="36">
        <f>'FOUND DATA'!C22</f>
        <v>0</v>
      </c>
      <c r="C19" s="36">
        <f>'FOUND DATA'!D22</f>
        <v>11</v>
      </c>
      <c r="D19" s="36">
        <f>'FOUND DATA'!E22</f>
        <v>0.95</v>
      </c>
      <c r="E19" s="36">
        <f>'FOUND DATA'!F22</f>
        <v>0</v>
      </c>
      <c r="F19" s="36">
        <f>'FOUND DATA'!G22</f>
        <v>0</v>
      </c>
    </row>
    <row r="20">
      <c r="A20" s="36">
        <f>'FOUND DATA'!B23</f>
        <v>11</v>
      </c>
      <c r="B20" s="36">
        <f>'FOUND DATA'!C23</f>
        <v>0.25</v>
      </c>
      <c r="C20" s="36">
        <f>'FOUND DATA'!D23</f>
        <v>1</v>
      </c>
      <c r="D20" s="36">
        <f>'FOUND DATA'!E23</f>
        <v>0.2</v>
      </c>
      <c r="E20" s="36">
        <f>'FOUND DATA'!F23</f>
        <v>0</v>
      </c>
      <c r="F20" s="36">
        <f>'FOUND DATA'!G23</f>
        <v>0</v>
      </c>
    </row>
    <row r="21">
      <c r="A21" s="36">
        <f>'FOUND DATA'!B24</f>
        <v>0</v>
      </c>
      <c r="B21" s="36">
        <f>'FOUND DATA'!C24</f>
        <v>0</v>
      </c>
      <c r="C21" s="36">
        <f>'FOUND DATA'!D24</f>
        <v>3</v>
      </c>
      <c r="D21" s="36">
        <f>'FOUND DATA'!E24</f>
        <v>0.84</v>
      </c>
      <c r="E21" s="36">
        <f>'FOUND DATA'!F24</f>
        <v>0</v>
      </c>
      <c r="F21" s="36">
        <f>'FOUND DATA'!G24</f>
        <v>0</v>
      </c>
    </row>
    <row r="22">
      <c r="A22" s="36">
        <f>'FOUND DATA'!B25</f>
        <v>14</v>
      </c>
      <c r="B22" s="36">
        <f>'FOUND DATA'!C25</f>
        <v>0.1</v>
      </c>
      <c r="C22" s="36">
        <f>'FOUND DATA'!D25</f>
        <v>0</v>
      </c>
      <c r="D22" s="36">
        <f>'FOUND DATA'!E25</f>
        <v>0</v>
      </c>
      <c r="E22" s="36">
        <f>'FOUND DATA'!F25</f>
        <v>1</v>
      </c>
      <c r="F22" s="36">
        <f>'FOUND DATA'!G25</f>
        <v>0.3</v>
      </c>
    </row>
    <row r="23">
      <c r="A23" s="36">
        <f>'FOUND DATA'!B26</f>
        <v>10</v>
      </c>
      <c r="B23" s="36">
        <f>'FOUND DATA'!C26</f>
        <v>0.15</v>
      </c>
      <c r="C23" s="36">
        <f>'FOUND DATA'!D26</f>
        <v>0</v>
      </c>
      <c r="D23" s="36">
        <f>'FOUND DATA'!E26</f>
        <v>0</v>
      </c>
      <c r="E23" s="36">
        <f>'FOUND DATA'!F26</f>
        <v>1</v>
      </c>
      <c r="F23" s="36">
        <f>'FOUND DATA'!G26</f>
        <v>0.3</v>
      </c>
    </row>
    <row r="24">
      <c r="A24" s="36">
        <f>'FOUND DATA'!B27</f>
        <v>10</v>
      </c>
      <c r="B24" s="36">
        <f>'FOUND DATA'!C27</f>
        <v>0.15</v>
      </c>
      <c r="C24" s="36">
        <f>'FOUND DATA'!D27</f>
        <v>0</v>
      </c>
      <c r="D24" s="36">
        <f>'FOUND DATA'!E27</f>
        <v>0</v>
      </c>
      <c r="E24" s="36">
        <f>'FOUND DATA'!F27</f>
        <v>1</v>
      </c>
      <c r="F24" s="36">
        <f>'FOUND DATA'!G27</f>
        <v>0.3</v>
      </c>
    </row>
    <row r="25">
      <c r="A25" s="36">
        <f>'FOUND DATA'!B28</f>
        <v>11</v>
      </c>
      <c r="B25" s="36">
        <f>'FOUND DATA'!C28</f>
        <v>0.15</v>
      </c>
      <c r="C25" s="36">
        <f>'FOUND DATA'!D28</f>
        <v>0</v>
      </c>
      <c r="D25" s="36">
        <f>'FOUND DATA'!E28</f>
        <v>0</v>
      </c>
      <c r="E25" s="36">
        <f>'FOUND DATA'!F28</f>
        <v>1</v>
      </c>
      <c r="F25" s="36">
        <f>'FOUND DATA'!G28</f>
        <v>0.2125</v>
      </c>
    </row>
    <row r="26">
      <c r="A26" s="36">
        <f>'FOUND DATA'!B29</f>
        <v>11</v>
      </c>
      <c r="B26" s="36">
        <f>'FOUND DATA'!C29</f>
        <v>0.5</v>
      </c>
      <c r="C26" s="36">
        <f>'FOUND DATA'!D29</f>
        <v>0</v>
      </c>
      <c r="D26" s="36">
        <f>'FOUND DATA'!E29</f>
        <v>0</v>
      </c>
      <c r="E26" s="36">
        <f>'FOUND DATA'!F29</f>
        <v>0</v>
      </c>
      <c r="F26" s="36">
        <f>'FOUND DATA'!G29</f>
        <v>0</v>
      </c>
    </row>
    <row r="27">
      <c r="A27" s="36">
        <f>'FOUND DATA'!B30</f>
        <v>14</v>
      </c>
      <c r="B27" s="36">
        <f>'FOUND DATA'!C30</f>
        <v>0.1</v>
      </c>
      <c r="C27" s="36">
        <f>'FOUND DATA'!D30</f>
        <v>2</v>
      </c>
      <c r="D27" s="36">
        <f>'FOUND DATA'!E30</f>
        <v>0.15</v>
      </c>
      <c r="E27" s="36">
        <f>'FOUND DATA'!F30</f>
        <v>1</v>
      </c>
      <c r="F27" s="36">
        <f>'FOUND DATA'!G30</f>
        <v>0.35</v>
      </c>
    </row>
    <row r="28">
      <c r="A28" s="36">
        <f>'FOUND DATA'!B31</f>
        <v>13</v>
      </c>
      <c r="B28" s="35">
        <f>'FOUND DATA'!C31</f>
        <v>0.1</v>
      </c>
      <c r="C28" s="36">
        <f>'FOUND DATA'!D31</f>
        <v>0</v>
      </c>
      <c r="D28" s="35">
        <f>'FOUND DATA'!E31</f>
        <v>0</v>
      </c>
      <c r="E28" s="36">
        <f>'FOUND DATA'!F31</f>
        <v>1</v>
      </c>
      <c r="F28" s="35">
        <f>'FOUND DATA'!G31</f>
        <v>0.25</v>
      </c>
    </row>
    <row r="29">
      <c r="A29" s="36">
        <f>'FOUND DATA'!B32</f>
        <v>0</v>
      </c>
      <c r="B29" s="35">
        <f>'FOUND DATA'!C32</f>
        <v>0</v>
      </c>
      <c r="C29" s="36">
        <f>'FOUND DATA'!D32</f>
        <v>0</v>
      </c>
      <c r="D29" s="35">
        <f>'FOUND DATA'!E32</f>
        <v>0</v>
      </c>
      <c r="E29" s="36">
        <f>'FOUND DATA'!F32</f>
        <v>1</v>
      </c>
      <c r="F29" s="35">
        <f>'FOUND DATA'!G32</f>
        <v>0.2</v>
      </c>
    </row>
    <row r="30">
      <c r="A30" s="36">
        <f>'FOUND DATA'!B33</f>
        <v>12</v>
      </c>
      <c r="B30" s="35">
        <f>'FOUND DATA'!C33</f>
        <v>0.05</v>
      </c>
      <c r="C30" s="36">
        <f>'FOUND DATA'!D33</f>
        <v>0</v>
      </c>
      <c r="D30" s="35">
        <f>'FOUND DATA'!E33</f>
        <v>0</v>
      </c>
      <c r="E30" s="36">
        <f>'FOUND DATA'!F33</f>
        <v>0</v>
      </c>
      <c r="F30" s="35">
        <f>'FOUND DATA'!G33</f>
        <v>0</v>
      </c>
    </row>
    <row r="31">
      <c r="A31" s="36">
        <f>'FOUND DATA'!B34</f>
        <v>10</v>
      </c>
      <c r="B31" s="35">
        <f>'FOUND DATA'!C34</f>
        <v>0.19</v>
      </c>
      <c r="C31" s="36">
        <f>'FOUND DATA'!D34</f>
        <v>0</v>
      </c>
      <c r="D31" s="35">
        <f>'FOUND DATA'!E34</f>
        <v>0</v>
      </c>
      <c r="E31" s="36">
        <f>'FOUND DATA'!F34</f>
        <v>0</v>
      </c>
      <c r="F31" s="35">
        <f>'FOUND DATA'!G34</f>
        <v>0</v>
      </c>
    </row>
    <row r="32">
      <c r="A32" s="36">
        <f>'FOUND DATA'!B35</f>
        <v>8</v>
      </c>
      <c r="B32" s="35">
        <f>'FOUND DATA'!C35</f>
        <v>0.08</v>
      </c>
      <c r="C32" s="36">
        <f>'FOUND DATA'!D35</f>
        <v>1</v>
      </c>
      <c r="D32" s="35">
        <f>'FOUND DATA'!E35</f>
        <v>0.15</v>
      </c>
      <c r="E32" s="36">
        <f>'FOUND DATA'!F35</f>
        <v>1</v>
      </c>
      <c r="F32" s="35">
        <f>'FOUND DATA'!G35</f>
        <v>0.3</v>
      </c>
    </row>
    <row r="33">
      <c r="A33" s="36">
        <f>'FOUND DATA'!B36</f>
        <v>13</v>
      </c>
      <c r="B33" s="35">
        <f>'FOUND DATA'!C36</f>
        <v>0.27</v>
      </c>
      <c r="C33" s="36">
        <f>'FOUND DATA'!D36</f>
        <v>0</v>
      </c>
      <c r="D33" s="35">
        <f>'FOUND DATA'!E36</f>
        <v>0</v>
      </c>
      <c r="E33" s="36">
        <f>'FOUND DATA'!F36</f>
        <v>1</v>
      </c>
      <c r="F33" s="35">
        <f>'FOUND DATA'!G36</f>
        <v>0.3</v>
      </c>
    </row>
    <row r="34">
      <c r="A34" s="36">
        <f>'FOUND DATA'!B37</f>
        <v>12</v>
      </c>
      <c r="B34" s="35">
        <f>'FOUND DATA'!C37</f>
        <v>0.4</v>
      </c>
      <c r="C34" s="36">
        <f>'FOUND DATA'!D37</f>
        <v>2</v>
      </c>
      <c r="D34" s="35">
        <f>'FOUND DATA'!E37</f>
        <v>0.3</v>
      </c>
      <c r="E34" s="36">
        <f>'FOUND DATA'!F37</f>
        <v>0</v>
      </c>
      <c r="F34" s="35">
        <f>'FOUND DATA'!G37</f>
        <v>0</v>
      </c>
    </row>
    <row r="35">
      <c r="A35" s="36">
        <f>'FOUND DATA'!B38</f>
        <v>5</v>
      </c>
      <c r="B35" s="35">
        <f>'FOUND DATA'!C38</f>
        <v>0.5</v>
      </c>
      <c r="C35" s="36">
        <f>'FOUND DATA'!D38</f>
        <v>0</v>
      </c>
      <c r="D35" s="35">
        <f>'FOUND DATA'!E38</f>
        <v>0</v>
      </c>
      <c r="E35" s="36">
        <f>'FOUND DATA'!F38</f>
        <v>0</v>
      </c>
      <c r="F35" s="35">
        <f>'FOUND DATA'!G38</f>
        <v>0</v>
      </c>
    </row>
    <row r="36">
      <c r="A36" s="36">
        <f>'FOUND DATA'!B39</f>
        <v>21</v>
      </c>
      <c r="B36" s="35">
        <f>'FOUND DATA'!C39</f>
        <v>0.7</v>
      </c>
      <c r="C36" s="36">
        <f>'FOUND DATA'!D39</f>
        <v>1</v>
      </c>
      <c r="D36" s="35">
        <f>'FOUND DATA'!E39</f>
        <v>0.3</v>
      </c>
      <c r="E36" s="36">
        <f>'FOUND DATA'!F39</f>
        <v>0</v>
      </c>
      <c r="F36" s="35">
        <f>'FOUND DATA'!G39</f>
        <v>0</v>
      </c>
    </row>
    <row r="37">
      <c r="A37" s="36">
        <f>'FOUND DATA'!B40</f>
        <v>15</v>
      </c>
      <c r="B37" s="35">
        <f>'FOUND DATA'!C40</f>
        <v>0.15</v>
      </c>
      <c r="C37" s="36">
        <f>'FOUND DATA'!D40</f>
        <v>3</v>
      </c>
      <c r="D37" s="35">
        <f>'FOUND DATA'!E40</f>
        <v>0.3</v>
      </c>
      <c r="E37" s="36">
        <f>'FOUND DATA'!F40</f>
        <v>1</v>
      </c>
      <c r="F37" s="35">
        <f>'FOUND DATA'!G40</f>
        <v>0.2</v>
      </c>
    </row>
    <row r="38">
      <c r="A38" s="36">
        <f>'FOUND DATA'!B41</f>
        <v>15</v>
      </c>
      <c r="B38" s="35">
        <f>'FOUND DATA'!C41</f>
        <v>0.15</v>
      </c>
      <c r="C38" s="36">
        <f>'FOUND DATA'!D41</f>
        <v>3</v>
      </c>
      <c r="D38" s="35">
        <f>'FOUND DATA'!E41</f>
        <v>0.3</v>
      </c>
      <c r="E38" s="36">
        <f>'FOUND DATA'!F41</f>
        <v>1</v>
      </c>
      <c r="F38" s="35">
        <f>'FOUND DATA'!G41</f>
        <v>0.2</v>
      </c>
    </row>
    <row r="39">
      <c r="A39" s="36">
        <f>'FOUND DATA'!B42</f>
        <v>15</v>
      </c>
      <c r="B39" s="35">
        <f>'FOUND DATA'!C42</f>
        <v>0.15</v>
      </c>
      <c r="C39" s="36">
        <f>'FOUND DATA'!D42</f>
        <v>3</v>
      </c>
      <c r="D39" s="35">
        <f>'FOUND DATA'!E42</f>
        <v>0.3</v>
      </c>
      <c r="E39" s="36">
        <f>'FOUND DATA'!F42</f>
        <v>1</v>
      </c>
      <c r="F39" s="35">
        <f>'FOUND DATA'!G42</f>
        <v>0.2</v>
      </c>
    </row>
    <row r="40">
      <c r="A40" s="36">
        <f>'FOUND DATA'!B43</f>
        <v>7</v>
      </c>
      <c r="B40" s="35">
        <f>'FOUND DATA'!C43</f>
        <v>0.5</v>
      </c>
      <c r="C40" s="36">
        <f>'FOUND DATA'!D43</f>
        <v>0</v>
      </c>
      <c r="D40" s="35">
        <f>'FOUND DATA'!E43</f>
        <v>0</v>
      </c>
      <c r="E40" s="36">
        <f>'FOUND DATA'!F43</f>
        <v>1</v>
      </c>
      <c r="F40" s="35">
        <f>'FOUND DATA'!G43</f>
        <v>0.3</v>
      </c>
    </row>
    <row r="41">
      <c r="A41" s="36">
        <f>'FOUND DATA'!B44</f>
        <v>7</v>
      </c>
      <c r="B41" s="35">
        <f>'FOUND DATA'!C44</f>
        <v>0.55</v>
      </c>
      <c r="C41" s="36">
        <f>'FOUND DATA'!D44</f>
        <v>0</v>
      </c>
      <c r="D41" s="35">
        <f>'FOUND DATA'!E44</f>
        <v>0</v>
      </c>
      <c r="E41" s="36">
        <f>'FOUND DATA'!F44</f>
        <v>0</v>
      </c>
      <c r="F41" s="35">
        <f>'FOUND DATA'!G44</f>
        <v>0</v>
      </c>
    </row>
    <row r="42">
      <c r="A42" s="36">
        <f>'FOUND DATA'!B45</f>
        <v>11</v>
      </c>
      <c r="B42" s="35">
        <f>'FOUND DATA'!C45</f>
        <v>0.22</v>
      </c>
      <c r="C42" s="36">
        <f>'FOUND DATA'!D45</f>
        <v>0</v>
      </c>
      <c r="D42" s="35">
        <f>'FOUND DATA'!E45</f>
        <v>0</v>
      </c>
      <c r="E42" s="36">
        <f>'FOUND DATA'!F45</f>
        <v>1</v>
      </c>
      <c r="F42" s="35">
        <f>'FOUND DATA'!G45</f>
        <v>0.24</v>
      </c>
    </row>
    <row r="43">
      <c r="A43" s="36">
        <f>'FOUND DATA'!B46</f>
        <v>0</v>
      </c>
      <c r="B43" s="35">
        <f>'FOUND DATA'!C46</f>
        <v>0</v>
      </c>
      <c r="C43" s="36">
        <f>'FOUND DATA'!D46</f>
        <v>4</v>
      </c>
      <c r="D43" s="35">
        <f>'FOUND DATA'!E46</f>
        <v>0.6</v>
      </c>
      <c r="E43" s="36">
        <f>'FOUND DATA'!F46</f>
        <v>0</v>
      </c>
      <c r="F43" s="35">
        <f>'FOUND DATA'!G46</f>
        <v>0</v>
      </c>
    </row>
    <row r="44">
      <c r="A44" s="36">
        <f>'FOUND DATA'!B47</f>
        <v>11</v>
      </c>
      <c r="B44" s="35">
        <f>'FOUND DATA'!C47</f>
        <v>0.6</v>
      </c>
      <c r="C44" s="36">
        <f>'FOUND DATA'!D47</f>
        <v>1</v>
      </c>
      <c r="D44" s="35">
        <f>'FOUND DATA'!E47</f>
        <v>0.4</v>
      </c>
      <c r="E44" s="36">
        <f>'FOUND DATA'!F47</f>
        <v>0</v>
      </c>
      <c r="F44" s="35">
        <f>'FOUND DATA'!G47</f>
        <v>0</v>
      </c>
    </row>
    <row r="45">
      <c r="A45" s="36">
        <f>'FOUND DATA'!B48</f>
        <v>15</v>
      </c>
      <c r="B45" s="35">
        <f>'FOUND DATA'!C48</f>
        <v>0.05</v>
      </c>
      <c r="C45" s="36">
        <f>'FOUND DATA'!D48</f>
        <v>1</v>
      </c>
      <c r="D45" s="35">
        <f>'FOUND DATA'!E48</f>
        <v>0.35</v>
      </c>
      <c r="E45" s="36">
        <f>'FOUND DATA'!F48</f>
        <v>0</v>
      </c>
      <c r="F45" s="35">
        <f>'FOUND DATA'!G48</f>
        <v>0</v>
      </c>
    </row>
    <row r="46">
      <c r="A46" s="36">
        <f>'FOUND DATA'!B49</f>
        <v>13</v>
      </c>
      <c r="B46" s="35">
        <f>'FOUND DATA'!C49</f>
        <v>0.25</v>
      </c>
      <c r="C46" s="36">
        <f>'FOUND DATA'!D49</f>
        <v>0</v>
      </c>
      <c r="D46" s="35">
        <f>'FOUND DATA'!E49</f>
        <v>0</v>
      </c>
      <c r="E46" s="36">
        <f>'FOUND DATA'!F49</f>
        <v>1</v>
      </c>
      <c r="F46" s="35">
        <f>'FOUND DATA'!G49</f>
        <v>0.35</v>
      </c>
    </row>
    <row r="47">
      <c r="A47" s="36">
        <f>'FOUND DATA'!B50</f>
        <v>14</v>
      </c>
      <c r="B47" s="35">
        <f>'FOUND DATA'!C50</f>
        <v>0.15</v>
      </c>
      <c r="C47" s="36">
        <f>'FOUND DATA'!D50</f>
        <v>0</v>
      </c>
      <c r="D47" s="35">
        <f>'FOUND DATA'!E50</f>
        <v>0</v>
      </c>
      <c r="E47" s="36">
        <f>'FOUND DATA'!F50</f>
        <v>1</v>
      </c>
      <c r="F47" s="35">
        <f>'FOUND DATA'!G50</f>
        <v>0.25</v>
      </c>
    </row>
    <row r="48">
      <c r="A48" s="36">
        <f>'FOUND DATA'!B51</f>
        <v>6</v>
      </c>
      <c r="B48" s="35">
        <f>'FOUND DATA'!C51</f>
        <v>0.15</v>
      </c>
      <c r="C48" s="36">
        <f>'FOUND DATA'!D51</f>
        <v>5</v>
      </c>
      <c r="D48" s="35">
        <f>'FOUND DATA'!E51</f>
        <v>0.3</v>
      </c>
      <c r="E48" s="36">
        <f>'FOUND DATA'!F51</f>
        <v>0</v>
      </c>
      <c r="F48" s="35">
        <f>'FOUND DATA'!G51</f>
        <v>0</v>
      </c>
    </row>
    <row r="49">
      <c r="A49" s="36">
        <f>'FOUND DATA'!B52</f>
        <v>17</v>
      </c>
      <c r="B49" s="35">
        <f>'FOUND DATA'!C52</f>
        <v>0.15</v>
      </c>
      <c r="C49" s="36">
        <f>'FOUND DATA'!D52</f>
        <v>0</v>
      </c>
      <c r="D49" s="35">
        <f>'FOUND DATA'!E52</f>
        <v>0</v>
      </c>
      <c r="E49" s="36">
        <f>'FOUND DATA'!F52</f>
        <v>1</v>
      </c>
      <c r="F49" s="35">
        <f>'FOUND DATA'!G52</f>
        <v>0.3</v>
      </c>
    </row>
    <row r="50">
      <c r="A50" s="36">
        <f>'FOUND DATA'!B53</f>
        <v>8</v>
      </c>
      <c r="B50" s="35">
        <f>'FOUND DATA'!C53</f>
        <v>0.3</v>
      </c>
      <c r="C50" s="36">
        <f>'FOUND DATA'!D53</f>
        <v>0</v>
      </c>
      <c r="D50" s="35">
        <f>'FOUND DATA'!E53</f>
        <v>0</v>
      </c>
      <c r="E50" s="36">
        <f>'FOUND DATA'!F53</f>
        <v>1</v>
      </c>
      <c r="F50" s="35">
        <f>'FOUND DATA'!G53</f>
        <v>0.3</v>
      </c>
    </row>
    <row r="51">
      <c r="A51" s="36">
        <f>'FOUND DATA'!B54</f>
        <v>7</v>
      </c>
      <c r="B51" s="35">
        <f>'FOUND DATA'!C54</f>
        <v>0.1</v>
      </c>
      <c r="C51" s="36">
        <f>'FOUND DATA'!D54</f>
        <v>0</v>
      </c>
      <c r="D51" s="35">
        <f>'FOUND DATA'!E54</f>
        <v>0</v>
      </c>
      <c r="E51" s="36">
        <f>'FOUND DATA'!F54</f>
        <v>1</v>
      </c>
      <c r="F51" s="35">
        <f>'FOUND DATA'!G54</f>
        <v>0.45</v>
      </c>
    </row>
    <row r="52">
      <c r="A52" s="36">
        <f>'FOUND DATA'!B55</f>
        <v>12</v>
      </c>
      <c r="B52" s="35">
        <f>'FOUND DATA'!C55</f>
        <v>0.65</v>
      </c>
      <c r="C52" s="36">
        <f>'FOUND DATA'!D55</f>
        <v>3</v>
      </c>
      <c r="D52" s="35">
        <f>'FOUND DATA'!E55</f>
        <v>0.15</v>
      </c>
      <c r="E52" s="36">
        <f>'FOUND DATA'!F55</f>
        <v>0</v>
      </c>
      <c r="F52" s="35">
        <f>'FOUND DATA'!G55</f>
        <v>0</v>
      </c>
    </row>
    <row r="53">
      <c r="A53" s="36">
        <f>'FOUND DATA'!B56</f>
        <v>7</v>
      </c>
      <c r="B53" s="35">
        <f>'FOUND DATA'!C56</f>
        <v>0.15</v>
      </c>
      <c r="C53" s="36">
        <f>'FOUND DATA'!D56</f>
        <v>0</v>
      </c>
      <c r="D53" s="35">
        <f>'FOUND DATA'!E56</f>
        <v>0</v>
      </c>
      <c r="E53" s="36">
        <f>'FOUND DATA'!F56</f>
        <v>1</v>
      </c>
      <c r="F53" s="35">
        <f>'FOUND DATA'!G56</f>
        <v>0.35</v>
      </c>
    </row>
    <row r="54">
      <c r="A54" s="36">
        <f>'FOUND DATA'!B57</f>
        <v>12</v>
      </c>
      <c r="B54" s="35">
        <f>'FOUND DATA'!C57</f>
        <v>0.15</v>
      </c>
      <c r="C54" s="36">
        <f>'FOUND DATA'!D57</f>
        <v>0</v>
      </c>
      <c r="D54" s="35">
        <f>'FOUND DATA'!E57</f>
        <v>0</v>
      </c>
      <c r="E54" s="36">
        <f>'FOUND DATA'!F57</f>
        <v>1</v>
      </c>
      <c r="F54" s="35">
        <f>'FOUND DATA'!G57</f>
        <v>0.3</v>
      </c>
    </row>
    <row r="55">
      <c r="A55" s="36">
        <f>'FOUND DATA'!B58</f>
        <v>12</v>
      </c>
      <c r="B55" s="35">
        <f>'FOUND DATA'!C58</f>
        <v>0.2</v>
      </c>
      <c r="C55" s="36">
        <f>'FOUND DATA'!D58</f>
        <v>0</v>
      </c>
      <c r="D55" s="35">
        <f>'FOUND DATA'!E58</f>
        <v>0</v>
      </c>
      <c r="E55" s="36">
        <f>'FOUND DATA'!F58</f>
        <v>1</v>
      </c>
      <c r="F55" s="35">
        <f>'FOUND DATA'!G58</f>
        <v>0.4</v>
      </c>
    </row>
    <row r="56">
      <c r="A56" s="36">
        <f>'FOUND DATA'!B59</f>
        <v>9</v>
      </c>
      <c r="B56" s="35">
        <f>'FOUND DATA'!C59</f>
        <v>0.1</v>
      </c>
      <c r="C56" s="36">
        <f>'FOUND DATA'!D59</f>
        <v>0</v>
      </c>
      <c r="D56" s="35">
        <f>'FOUND DATA'!E59</f>
        <v>0</v>
      </c>
      <c r="E56" s="36">
        <f>'FOUND DATA'!F59</f>
        <v>1</v>
      </c>
      <c r="F56" s="35">
        <f>'FOUND DATA'!G59</f>
        <v>0.4</v>
      </c>
    </row>
    <row r="57">
      <c r="A57" s="36">
        <f>'FOUND DATA'!B60</f>
        <v>9</v>
      </c>
      <c r="B57" s="35">
        <f>'FOUND DATA'!C60</f>
        <v>0.1</v>
      </c>
      <c r="C57" s="36">
        <f>'FOUND DATA'!D60</f>
        <v>0</v>
      </c>
      <c r="D57" s="35">
        <f>'FOUND DATA'!E60</f>
        <v>0</v>
      </c>
      <c r="E57" s="36">
        <f>'FOUND DATA'!F60</f>
        <v>1</v>
      </c>
      <c r="F57" s="35">
        <f>'FOUND DATA'!G60</f>
        <v>0.4</v>
      </c>
    </row>
    <row r="58">
      <c r="A58" s="36">
        <f>'FOUND DATA'!B61</f>
        <v>7</v>
      </c>
      <c r="B58" s="35">
        <f>'FOUND DATA'!C61</f>
        <v>0.1</v>
      </c>
      <c r="C58" s="36">
        <f>'FOUND DATA'!D61</f>
        <v>0</v>
      </c>
      <c r="D58" s="35">
        <f>'FOUND DATA'!E61</f>
        <v>0</v>
      </c>
      <c r="E58" s="36">
        <f>'FOUND DATA'!F61</f>
        <v>1</v>
      </c>
      <c r="F58" s="35">
        <f>'FOUND DATA'!G61</f>
        <v>0.3</v>
      </c>
    </row>
    <row r="59">
      <c r="A59" s="36">
        <f>'FOUND DATA'!B62</f>
        <v>10</v>
      </c>
      <c r="B59" s="35">
        <f>'FOUND DATA'!C62</f>
        <v>0.2</v>
      </c>
      <c r="C59" s="36">
        <f>'FOUND DATA'!D62</f>
        <v>1</v>
      </c>
      <c r="D59" s="35">
        <f>'FOUND DATA'!E62</f>
        <v>0.1</v>
      </c>
      <c r="E59" s="36">
        <f>'FOUND DATA'!F62</f>
        <v>1</v>
      </c>
      <c r="F59" s="35">
        <f>'FOUND DATA'!G62</f>
        <v>0.3</v>
      </c>
    </row>
    <row r="60">
      <c r="A60" s="36">
        <f>'FOUND DATA'!B63</f>
        <v>10</v>
      </c>
      <c r="B60" s="35">
        <f>'FOUND DATA'!C63</f>
        <v>0.2</v>
      </c>
      <c r="C60" s="36">
        <f>'FOUND DATA'!D63</f>
        <v>1</v>
      </c>
      <c r="D60" s="35">
        <f>'FOUND DATA'!E63</f>
        <v>0.1</v>
      </c>
      <c r="E60" s="36">
        <f>'FOUND DATA'!F63</f>
        <v>1</v>
      </c>
      <c r="F60" s="35">
        <f>'FOUND DATA'!G63</f>
        <v>0.3</v>
      </c>
    </row>
    <row r="61">
      <c r="A61" s="36">
        <f>'FOUND DATA'!B64</f>
        <v>9</v>
      </c>
      <c r="B61" s="35">
        <f>'FOUND DATA'!C64</f>
        <v>0.075</v>
      </c>
      <c r="C61" s="36">
        <f>'FOUND DATA'!D64</f>
        <v>1</v>
      </c>
      <c r="D61" s="35">
        <f>'FOUND DATA'!E64</f>
        <v>0.4</v>
      </c>
      <c r="E61" s="36">
        <f>'FOUND DATA'!F64</f>
        <v>0</v>
      </c>
      <c r="F61" s="35">
        <f>'FOUND DATA'!G64</f>
        <v>0</v>
      </c>
    </row>
    <row r="62">
      <c r="A62" s="36">
        <f>'FOUND DATA'!B65</f>
        <v>13</v>
      </c>
      <c r="B62" s="35">
        <f>'FOUND DATA'!C65</f>
        <v>0.2</v>
      </c>
      <c r="C62" s="36">
        <f>'FOUND DATA'!D65</f>
        <v>0</v>
      </c>
      <c r="D62" s="35">
        <f>'FOUND DATA'!E65</f>
        <v>0</v>
      </c>
      <c r="E62" s="36">
        <f>'FOUND DATA'!F65</f>
        <v>1</v>
      </c>
      <c r="F62" s="35">
        <f>'FOUND DATA'!G65</f>
        <v>0.35</v>
      </c>
    </row>
    <row r="63">
      <c r="A63" s="36">
        <f>'FOUND DATA'!B66</f>
        <v>0</v>
      </c>
      <c r="B63" s="35">
        <f>'FOUND DATA'!C66</f>
        <v>0</v>
      </c>
      <c r="C63" s="36">
        <f>'FOUND DATA'!D66</f>
        <v>0</v>
      </c>
      <c r="D63" s="35">
        <f>'FOUND DATA'!E66</f>
        <v>0</v>
      </c>
      <c r="E63" s="36">
        <f>'FOUND DATA'!F66</f>
        <v>1</v>
      </c>
      <c r="F63" s="35">
        <f>'FOUND DATA'!G66</f>
        <v>0.3</v>
      </c>
    </row>
    <row r="64">
      <c r="A64" s="36">
        <f>'FOUND DATA'!B67</f>
        <v>0</v>
      </c>
      <c r="B64" s="35">
        <f>'FOUND DATA'!C67</f>
        <v>0</v>
      </c>
      <c r="C64" s="36">
        <f>'FOUND DATA'!D67</f>
        <v>0</v>
      </c>
      <c r="D64" s="35">
        <f>'FOUND DATA'!E67</f>
        <v>0</v>
      </c>
      <c r="E64" s="36">
        <f>'FOUND DATA'!F67</f>
        <v>1</v>
      </c>
      <c r="F64" s="35">
        <f>'FOUND DATA'!G67</f>
        <v>0.35</v>
      </c>
    </row>
    <row r="65">
      <c r="A65" s="36">
        <f>'FOUND DATA'!B68</f>
        <v>11</v>
      </c>
      <c r="B65" s="35">
        <f>'FOUND DATA'!C68</f>
        <v>0.1</v>
      </c>
      <c r="C65" s="36">
        <f>'FOUND DATA'!D68</f>
        <v>0</v>
      </c>
      <c r="D65" s="35">
        <f>'FOUND DATA'!E68</f>
        <v>0</v>
      </c>
      <c r="E65" s="36">
        <f>'FOUND DATA'!F68</f>
        <v>1</v>
      </c>
      <c r="F65" s="35">
        <f>'FOUND DATA'!G68</f>
        <v>0.3</v>
      </c>
    </row>
    <row r="66">
      <c r="A66" s="36">
        <f>'FOUND DATA'!B69</f>
        <v>10</v>
      </c>
      <c r="B66" s="35">
        <f>'FOUND DATA'!C69</f>
        <v>0.15</v>
      </c>
      <c r="C66" s="36">
        <f>'FOUND DATA'!D69</f>
        <v>0</v>
      </c>
      <c r="D66" s="35">
        <f>'FOUND DATA'!E69</f>
        <v>0</v>
      </c>
      <c r="E66" s="36">
        <f>'FOUND DATA'!F69</f>
        <v>1</v>
      </c>
      <c r="F66" s="35">
        <f>'FOUND DATA'!G69</f>
        <v>0.3</v>
      </c>
    </row>
    <row r="67">
      <c r="A67" s="36">
        <f>'FOUND DATA'!B70</f>
        <v>12</v>
      </c>
      <c r="B67" s="35">
        <f>'FOUND DATA'!C70</f>
        <v>0.15</v>
      </c>
      <c r="C67" s="36">
        <f>'FOUND DATA'!D70</f>
        <v>0</v>
      </c>
      <c r="D67" s="35">
        <f>'FOUND DATA'!E70</f>
        <v>0</v>
      </c>
      <c r="E67" s="36">
        <f>'FOUND DATA'!F70</f>
        <v>1</v>
      </c>
      <c r="F67" s="35">
        <f>'FOUND DATA'!G70</f>
        <v>0.35</v>
      </c>
    </row>
    <row r="68">
      <c r="A68" s="36">
        <f>'FOUND DATA'!B71</f>
        <v>0</v>
      </c>
      <c r="B68" s="35">
        <f>'FOUND DATA'!C71</f>
        <v>0</v>
      </c>
      <c r="C68" s="36">
        <f>'FOUND DATA'!D71</f>
        <v>0</v>
      </c>
      <c r="D68" s="35">
        <f>'FOUND DATA'!E71</f>
        <v>0</v>
      </c>
      <c r="E68" s="36">
        <f>'FOUND DATA'!F71</f>
        <v>1</v>
      </c>
      <c r="F68" s="35">
        <f>'FOUND DATA'!G71</f>
        <v>0.3</v>
      </c>
    </row>
    <row r="69">
      <c r="A69" s="36">
        <f>'FOUND DATA'!B72</f>
        <v>12</v>
      </c>
      <c r="B69" s="35">
        <f>'FOUND DATA'!C72</f>
        <v>0.1</v>
      </c>
      <c r="C69" s="36">
        <f>'FOUND DATA'!D72</f>
        <v>3</v>
      </c>
      <c r="D69" s="35">
        <f>'FOUND DATA'!E72</f>
        <v>0.15</v>
      </c>
      <c r="E69" s="36">
        <f>'FOUND DATA'!F72</f>
        <v>1</v>
      </c>
      <c r="F69" s="35">
        <f>'FOUND DATA'!G72</f>
        <v>0.25</v>
      </c>
    </row>
    <row r="70">
      <c r="A70" s="36">
        <f>'FOUND DATA'!B73</f>
        <v>12</v>
      </c>
      <c r="B70" s="35">
        <f>'FOUND DATA'!C73</f>
        <v>0.2</v>
      </c>
      <c r="C70" s="36">
        <f>'FOUND DATA'!D73</f>
        <v>0</v>
      </c>
      <c r="D70" s="35">
        <f>'FOUND DATA'!E73</f>
        <v>0</v>
      </c>
      <c r="E70" s="36">
        <f>'FOUND DATA'!F73</f>
        <v>1</v>
      </c>
      <c r="F70" s="35">
        <f>'FOUND DATA'!G73</f>
        <v>0.35</v>
      </c>
    </row>
    <row r="71">
      <c r="A71" s="36">
        <f>'FOUND DATA'!B74</f>
        <v>0</v>
      </c>
      <c r="B71" s="35">
        <f>'FOUND DATA'!C74</f>
        <v>0</v>
      </c>
      <c r="C71" s="36">
        <f>'FOUND DATA'!D74</f>
        <v>0</v>
      </c>
      <c r="D71" s="35">
        <f>'FOUND DATA'!E74</f>
        <v>0</v>
      </c>
      <c r="E71" s="36">
        <f>'FOUND DATA'!F74</f>
        <v>1</v>
      </c>
      <c r="F71" s="35">
        <f>'FOUND DATA'!G74</f>
        <v>0.3</v>
      </c>
    </row>
    <row r="72">
      <c r="A72" s="36">
        <f>'FOUND DATA'!B75</f>
        <v>11</v>
      </c>
      <c r="B72" s="35">
        <f>'FOUND DATA'!C75</f>
        <v>0.1</v>
      </c>
      <c r="C72" s="36">
        <f>'FOUND DATA'!D75</f>
        <v>0</v>
      </c>
      <c r="D72" s="35">
        <f>'FOUND DATA'!E75</f>
        <v>0</v>
      </c>
      <c r="E72" s="36">
        <f>'FOUND DATA'!F75</f>
        <v>1</v>
      </c>
      <c r="F72" s="35">
        <f>'FOUND DATA'!G75</f>
        <v>0.3</v>
      </c>
    </row>
    <row r="73">
      <c r="A73" s="36">
        <f>'FOUND DATA'!B76</f>
        <v>21</v>
      </c>
      <c r="B73" s="35">
        <f>'FOUND DATA'!C76</f>
        <v>0.4</v>
      </c>
      <c r="C73" s="36">
        <f>'FOUND DATA'!D76</f>
        <v>0</v>
      </c>
      <c r="D73" s="35">
        <f>'FOUND DATA'!E76</f>
        <v>0</v>
      </c>
      <c r="E73" s="36">
        <f>'FOUND DATA'!F76</f>
        <v>0</v>
      </c>
      <c r="F73" s="35">
        <f>'FOUND DATA'!G76</f>
        <v>0</v>
      </c>
    </row>
    <row r="74">
      <c r="A74" s="36">
        <f>'FOUND DATA'!B77</f>
        <v>9</v>
      </c>
      <c r="B74" s="35">
        <f>'FOUND DATA'!C77</f>
        <v>0.1</v>
      </c>
      <c r="C74" s="36">
        <f>'FOUND DATA'!D77</f>
        <v>0</v>
      </c>
      <c r="D74" s="35">
        <f>'FOUND DATA'!E77</f>
        <v>0</v>
      </c>
      <c r="E74" s="36">
        <f>'FOUND DATA'!F77</f>
        <v>1</v>
      </c>
      <c r="F74" s="35">
        <f>'FOUND DATA'!G77</f>
        <v>0.4</v>
      </c>
    </row>
    <row r="75">
      <c r="A75" s="36">
        <f>'FOUND DATA'!B78</f>
        <v>12</v>
      </c>
      <c r="B75" s="35">
        <f>'FOUND DATA'!C78</f>
        <v>0.1</v>
      </c>
      <c r="C75" s="36">
        <f>'FOUND DATA'!D78</f>
        <v>3</v>
      </c>
      <c r="D75" s="35">
        <f>'FOUND DATA'!E78</f>
        <v>0.15</v>
      </c>
      <c r="E75" s="36">
        <f>'FOUND DATA'!F78</f>
        <v>1</v>
      </c>
      <c r="F75" s="35">
        <f>'FOUND DATA'!G78</f>
        <v>0.25</v>
      </c>
    </row>
    <row r="76">
      <c r="A76" s="36">
        <f>'FOUND DATA'!B79</f>
        <v>21</v>
      </c>
      <c r="B76" s="35">
        <f>'FOUND DATA'!C79</f>
        <v>0.4</v>
      </c>
      <c r="C76" s="36">
        <f>'FOUND DATA'!D79</f>
        <v>0</v>
      </c>
      <c r="D76" s="35">
        <f>'FOUND DATA'!E79</f>
        <v>0</v>
      </c>
      <c r="E76" s="36">
        <f>'FOUND DATA'!F79</f>
        <v>0</v>
      </c>
      <c r="F76" s="35">
        <f>'FOUND DATA'!G79</f>
        <v>0</v>
      </c>
    </row>
    <row r="77">
      <c r="A77" s="36">
        <f>'FOUND DATA'!B80</f>
        <v>12</v>
      </c>
      <c r="B77" s="35">
        <f>'FOUND DATA'!C80</f>
        <v>0.15</v>
      </c>
      <c r="C77" s="36">
        <f>'FOUND DATA'!D80</f>
        <v>0</v>
      </c>
      <c r="D77" s="35">
        <f>'FOUND DATA'!E80</f>
        <v>0</v>
      </c>
      <c r="E77" s="36">
        <f>'FOUND DATA'!F80</f>
        <v>1</v>
      </c>
      <c r="F77" s="35">
        <f>'FOUND DATA'!G80</f>
        <v>0.35</v>
      </c>
    </row>
    <row r="78">
      <c r="A78" s="36">
        <f>'FOUND DATA'!B81</f>
        <v>10</v>
      </c>
      <c r="B78" s="35">
        <f>'FOUND DATA'!C81</f>
        <v>0.15</v>
      </c>
      <c r="C78" s="36">
        <f>'FOUND DATA'!D81</f>
        <v>0</v>
      </c>
      <c r="D78" s="35">
        <f>'FOUND DATA'!E81</f>
        <v>0</v>
      </c>
      <c r="E78" s="36">
        <f>'FOUND DATA'!F81</f>
        <v>1</v>
      </c>
      <c r="F78" s="35">
        <f>'FOUND DATA'!G81</f>
        <v>0.3</v>
      </c>
    </row>
    <row r="79">
      <c r="A79" s="36">
        <f>'FOUND DATA'!B82</f>
        <v>10</v>
      </c>
      <c r="B79" s="35">
        <f>'FOUND DATA'!C82</f>
        <v>0.1</v>
      </c>
      <c r="C79" s="36">
        <f>'FOUND DATA'!D82</f>
        <v>0</v>
      </c>
      <c r="D79" s="35">
        <f>'FOUND DATA'!E82</f>
        <v>0</v>
      </c>
      <c r="E79" s="36">
        <f>'FOUND DATA'!F82</f>
        <v>1</v>
      </c>
      <c r="F79" s="35">
        <f>'FOUND DATA'!G82</f>
        <v>0.35</v>
      </c>
    </row>
    <row r="80">
      <c r="A80" s="36">
        <f>'FOUND DATA'!B83</f>
        <v>38</v>
      </c>
      <c r="B80" s="35">
        <f>'FOUND DATA'!C83</f>
        <v>0.49</v>
      </c>
      <c r="C80" s="36">
        <f>'FOUND DATA'!D83</f>
        <v>2</v>
      </c>
      <c r="D80" s="35">
        <f>'FOUND DATA'!E83</f>
        <v>0.51</v>
      </c>
      <c r="E80" s="36">
        <f>'FOUND DATA'!F83</f>
        <v>0</v>
      </c>
      <c r="F80" s="35">
        <f>'FOUND DATA'!G83</f>
        <v>0</v>
      </c>
    </row>
    <row r="81">
      <c r="A81" s="36">
        <f>'FOUND DATA'!B84</f>
        <v>6</v>
      </c>
      <c r="B81" s="35">
        <f>'FOUND DATA'!C84</f>
        <v>0.15</v>
      </c>
      <c r="C81" s="36">
        <f>'FOUND DATA'!D84</f>
        <v>2</v>
      </c>
      <c r="D81" s="35">
        <f>'FOUND DATA'!E84</f>
        <v>0.25</v>
      </c>
      <c r="E81" s="36">
        <f>'FOUND DATA'!F84</f>
        <v>0</v>
      </c>
      <c r="F81" s="35">
        <f>'FOUND DATA'!G84</f>
        <v>0</v>
      </c>
    </row>
    <row r="82">
      <c r="A82" s="36">
        <f>'FOUND DATA'!B85</f>
        <v>5</v>
      </c>
      <c r="B82" s="35">
        <f>'FOUND DATA'!C85</f>
        <v>0.3</v>
      </c>
      <c r="C82" s="36">
        <f>'FOUND DATA'!D85</f>
        <v>4</v>
      </c>
      <c r="D82" s="35">
        <f>'FOUND DATA'!E85</f>
        <v>0.45</v>
      </c>
      <c r="E82" s="36">
        <f>'FOUND DATA'!F85</f>
        <v>0</v>
      </c>
      <c r="F82" s="35">
        <f>'FOUND DATA'!G85</f>
        <v>0</v>
      </c>
    </row>
    <row r="83">
      <c r="A83" s="36">
        <f>'FOUND DATA'!B86</f>
        <v>0</v>
      </c>
      <c r="B83" s="35">
        <f>'FOUND DATA'!C86</f>
        <v>0</v>
      </c>
      <c r="C83" s="36">
        <f>'FOUND DATA'!D86</f>
        <v>3</v>
      </c>
      <c r="D83" s="35">
        <f>'FOUND DATA'!E86</f>
        <v>1</v>
      </c>
      <c r="E83" s="36">
        <f>'FOUND DATA'!F86</f>
        <v>0</v>
      </c>
      <c r="F83" s="35">
        <f>'FOUND DATA'!G86</f>
        <v>0</v>
      </c>
    </row>
    <row r="84">
      <c r="A84" s="36">
        <f>'FOUND DATA'!B87</f>
        <v>12</v>
      </c>
      <c r="B84" s="35">
        <f>'FOUND DATA'!C87</f>
        <v>0.2</v>
      </c>
      <c r="C84" s="36">
        <f>'FOUND DATA'!D87</f>
        <v>1</v>
      </c>
      <c r="D84" s="35">
        <f>'FOUND DATA'!E87</f>
        <v>0.35</v>
      </c>
      <c r="E84" s="36">
        <f>'FOUND DATA'!F87</f>
        <v>0</v>
      </c>
      <c r="F84" s="35">
        <f>'FOUND DATA'!G87</f>
        <v>0</v>
      </c>
    </row>
    <row r="85">
      <c r="A85" s="36">
        <f>'FOUND DATA'!B88</f>
        <v>4</v>
      </c>
      <c r="B85" s="35">
        <f>'FOUND DATA'!C88</f>
        <v>0.4</v>
      </c>
      <c r="C85" s="36">
        <f>'FOUND DATA'!D88</f>
        <v>1</v>
      </c>
      <c r="D85" s="35">
        <f>'FOUND DATA'!E88</f>
        <v>0.2</v>
      </c>
      <c r="E85" s="36">
        <f>'FOUND DATA'!F88</f>
        <v>0</v>
      </c>
      <c r="F85" s="35">
        <f>'FOUND DATA'!G88</f>
        <v>0</v>
      </c>
    </row>
    <row r="86">
      <c r="A86" s="36">
        <f>'FOUND DATA'!B89</f>
        <v>12</v>
      </c>
      <c r="B86" s="35">
        <f>'FOUND DATA'!C89</f>
        <v>0.2</v>
      </c>
      <c r="C86" s="36">
        <f>'FOUND DATA'!D89</f>
        <v>1</v>
      </c>
      <c r="D86" s="35">
        <f>'FOUND DATA'!E89</f>
        <v>0.3</v>
      </c>
      <c r="E86" s="36">
        <f>'FOUND DATA'!F89</f>
        <v>0</v>
      </c>
      <c r="F86" s="35">
        <f>'FOUND DATA'!G89</f>
        <v>0</v>
      </c>
    </row>
    <row r="87">
      <c r="A87" s="36">
        <f>'FOUND DATA'!B90</f>
        <v>12</v>
      </c>
      <c r="B87" s="35">
        <f>'FOUND DATA'!C90</f>
        <v>0.15</v>
      </c>
      <c r="C87" s="36">
        <f>'FOUND DATA'!D90</f>
        <v>0</v>
      </c>
      <c r="D87" s="35">
        <f>'FOUND DATA'!E90</f>
        <v>0</v>
      </c>
      <c r="E87" s="36">
        <f>'FOUND DATA'!F90</f>
        <v>1</v>
      </c>
      <c r="F87" s="35">
        <f>'FOUND DATA'!G90</f>
        <v>0.2</v>
      </c>
    </row>
    <row r="88">
      <c r="A88" s="36">
        <f>'FOUND DATA'!B91</f>
        <v>14</v>
      </c>
      <c r="B88" s="35">
        <f>'FOUND DATA'!C91</f>
        <v>0.2</v>
      </c>
      <c r="C88" s="36">
        <f>'FOUND DATA'!D91</f>
        <v>1</v>
      </c>
      <c r="D88" s="35">
        <f>'FOUND DATA'!E91</f>
        <v>0.1</v>
      </c>
      <c r="E88" s="36">
        <f>'FOUND DATA'!F91</f>
        <v>1</v>
      </c>
      <c r="F88" s="35">
        <f>'FOUND DATA'!G91</f>
        <v>0.3</v>
      </c>
    </row>
    <row r="89">
      <c r="A89" s="36">
        <f>'FOUND DATA'!B92</f>
        <v>5</v>
      </c>
      <c r="B89" s="35">
        <f>'FOUND DATA'!C92</f>
        <v>0.5</v>
      </c>
      <c r="C89" s="36">
        <f>'FOUND DATA'!D92</f>
        <v>4</v>
      </c>
      <c r="D89" s="35">
        <f>'FOUND DATA'!E92</f>
        <v>0.4</v>
      </c>
      <c r="E89" s="36">
        <f>'FOUND DATA'!F92</f>
        <v>0</v>
      </c>
      <c r="F89" s="35">
        <f>'FOUND DATA'!G92</f>
        <v>0</v>
      </c>
    </row>
    <row r="90">
      <c r="A90" s="36">
        <f>'FOUND DATA'!B93</f>
        <v>0</v>
      </c>
      <c r="B90" s="35">
        <f>'FOUND DATA'!C93</f>
        <v>0</v>
      </c>
      <c r="C90" s="36">
        <f>'FOUND DATA'!D93</f>
        <v>1</v>
      </c>
      <c r="D90" s="35">
        <f>'FOUND DATA'!E93</f>
        <v>0.5</v>
      </c>
      <c r="E90" s="36">
        <f>'FOUND DATA'!F93</f>
        <v>0</v>
      </c>
      <c r="F90" s="35">
        <f>'FOUND DATA'!G93</f>
        <v>0</v>
      </c>
    </row>
    <row r="91">
      <c r="A91" s="36">
        <f>'FOUND DATA'!B94</f>
        <v>13</v>
      </c>
      <c r="B91" s="35">
        <f>'FOUND DATA'!C94</f>
        <v>0.2</v>
      </c>
      <c r="C91" s="36">
        <f>'FOUND DATA'!D94</f>
        <v>3</v>
      </c>
      <c r="D91" s="35">
        <f>'FOUND DATA'!E94</f>
        <v>0.55</v>
      </c>
      <c r="E91" s="36">
        <f>'FOUND DATA'!F94</f>
        <v>0</v>
      </c>
      <c r="F91" s="35">
        <f>'FOUND DATA'!G94</f>
        <v>0</v>
      </c>
    </row>
    <row r="92">
      <c r="A92" s="36">
        <f>'FOUND DATA'!B95</f>
        <v>8</v>
      </c>
      <c r="B92" s="35">
        <f>'FOUND DATA'!C95</f>
        <v>0.14</v>
      </c>
      <c r="C92" s="36">
        <f>'FOUND DATA'!D95</f>
        <v>0</v>
      </c>
      <c r="D92" s="35">
        <f>'FOUND DATA'!E95</f>
        <v>0</v>
      </c>
      <c r="E92" s="36">
        <f>'FOUND DATA'!F95</f>
        <v>1</v>
      </c>
      <c r="F92" s="35">
        <f>'FOUND DATA'!G95</f>
        <v>0.25</v>
      </c>
    </row>
    <row r="93">
      <c r="A93" s="36">
        <f>'FOUND DATA'!B96</f>
        <v>12</v>
      </c>
      <c r="B93" s="35">
        <f>'FOUND DATA'!C96</f>
        <v>0.05</v>
      </c>
      <c r="C93" s="36">
        <f>'FOUND DATA'!D96</f>
        <v>0</v>
      </c>
      <c r="D93" s="35">
        <f>'FOUND DATA'!E96</f>
        <v>0</v>
      </c>
      <c r="E93" s="36">
        <f>'FOUND DATA'!F96</f>
        <v>1</v>
      </c>
      <c r="F93" s="35">
        <f>'FOUND DATA'!G96</f>
        <v>0.3</v>
      </c>
    </row>
    <row r="94">
      <c r="A94" s="36">
        <f>'FOUND DATA'!B97</f>
        <v>9</v>
      </c>
      <c r="B94" s="35">
        <f>'FOUND DATA'!C97</f>
        <v>0.27</v>
      </c>
      <c r="C94" s="36">
        <f>'FOUND DATA'!D97</f>
        <v>5</v>
      </c>
      <c r="D94" s="35">
        <f>'FOUND DATA'!E97</f>
        <v>0.49</v>
      </c>
      <c r="E94" s="36">
        <f>'FOUND DATA'!F97</f>
        <v>0</v>
      </c>
      <c r="F94" s="35">
        <f>'FOUND DATA'!G97</f>
        <v>0</v>
      </c>
    </row>
    <row r="95">
      <c r="A95" s="36">
        <f>'FOUND DATA'!B98</f>
        <v>11</v>
      </c>
      <c r="B95" s="35">
        <f>'FOUND DATA'!C98</f>
        <v>0.2</v>
      </c>
      <c r="C95" s="36">
        <f>'FOUND DATA'!D98</f>
        <v>0</v>
      </c>
      <c r="D95" s="35">
        <f>'FOUND DATA'!E98</f>
        <v>0</v>
      </c>
      <c r="E95" s="36">
        <f>'FOUND DATA'!F98</f>
        <v>1</v>
      </c>
      <c r="F95" s="35">
        <f>'FOUND DATA'!G98</f>
        <v>0.4</v>
      </c>
    </row>
    <row r="96">
      <c r="A96" s="36">
        <f>'FOUND DATA'!B99</f>
        <v>12</v>
      </c>
      <c r="B96" s="35">
        <f>'FOUND DATA'!C99</f>
        <v>0.15</v>
      </c>
      <c r="C96" s="36">
        <f>'FOUND DATA'!D99</f>
        <v>3</v>
      </c>
      <c r="D96" s="35">
        <f>'FOUND DATA'!E99</f>
        <v>0.15</v>
      </c>
      <c r="E96" s="36">
        <f>'FOUND DATA'!F99</f>
        <v>1</v>
      </c>
      <c r="F96" s="35">
        <f>'FOUND DATA'!G99</f>
        <v>0.25</v>
      </c>
    </row>
    <row r="97">
      <c r="A97" s="36">
        <f>'FOUND DATA'!B100</f>
        <v>13</v>
      </c>
      <c r="B97" s="35">
        <f>'FOUND DATA'!C100</f>
        <v>0.2</v>
      </c>
      <c r="C97" s="36">
        <f>'FOUND DATA'!D100</f>
        <v>5</v>
      </c>
      <c r="D97" s="35">
        <f>'FOUND DATA'!E100</f>
        <v>0.5</v>
      </c>
      <c r="E97" s="36">
        <f>'FOUND DATA'!F100</f>
        <v>0</v>
      </c>
      <c r="F97" s="35">
        <f>'FOUND DATA'!G100</f>
        <v>0</v>
      </c>
    </row>
    <row r="98">
      <c r="A98" s="36">
        <f>'FOUND DATA'!B101</f>
        <v>14</v>
      </c>
      <c r="B98" s="35">
        <f>'FOUND DATA'!C101</f>
        <v>0.15</v>
      </c>
      <c r="C98" s="36">
        <f>'FOUND DATA'!D101</f>
        <v>0</v>
      </c>
      <c r="D98" s="35">
        <f>'FOUND DATA'!E101</f>
        <v>0</v>
      </c>
      <c r="E98" s="36">
        <f>'FOUND DATA'!F101</f>
        <v>1</v>
      </c>
      <c r="F98" s="35">
        <f>'FOUND DATA'!G101</f>
        <v>0.35</v>
      </c>
    </row>
    <row r="99">
      <c r="A99" s="36">
        <f>'FOUND DATA'!B102</f>
        <v>12</v>
      </c>
      <c r="B99" s="35">
        <f>'FOUND DATA'!C102</f>
        <v>0.2</v>
      </c>
      <c r="C99" s="36">
        <f>'FOUND DATA'!D102</f>
        <v>0</v>
      </c>
      <c r="D99" s="35">
        <f>'FOUND DATA'!E102</f>
        <v>0</v>
      </c>
      <c r="E99" s="36">
        <f>'FOUND DATA'!F102</f>
        <v>1</v>
      </c>
      <c r="F99" s="35">
        <f>'FOUND DATA'!G102</f>
        <v>0.2</v>
      </c>
    </row>
    <row r="100">
      <c r="A100" s="36">
        <f>'FOUND DATA'!B103</f>
        <v>12</v>
      </c>
      <c r="B100" s="35">
        <f>'FOUND DATA'!C103</f>
        <v>0.2</v>
      </c>
      <c r="C100" s="36">
        <f>'FOUND DATA'!D103</f>
        <v>0</v>
      </c>
      <c r="D100" s="35">
        <f>'FOUND DATA'!E103</f>
        <v>0</v>
      </c>
      <c r="E100" s="36">
        <f>'FOUND DATA'!F103</f>
        <v>1</v>
      </c>
      <c r="F100" s="35">
        <f>'FOUND DATA'!G103</f>
        <v>0.2</v>
      </c>
    </row>
    <row r="101">
      <c r="A101" s="36">
        <f>'FOUND DATA'!B104</f>
        <v>13</v>
      </c>
      <c r="B101" s="35">
        <f>'FOUND DATA'!C104</f>
        <v>0.1</v>
      </c>
      <c r="C101" s="36">
        <f>'FOUND DATA'!D104</f>
        <v>0</v>
      </c>
      <c r="D101" s="35">
        <f>'FOUND DATA'!E104</f>
        <v>0</v>
      </c>
      <c r="E101" s="36">
        <f>'FOUND DATA'!F104</f>
        <v>1</v>
      </c>
      <c r="F101" s="35">
        <f>'FOUND DATA'!G104</f>
        <v>0.25</v>
      </c>
    </row>
    <row r="102">
      <c r="A102" s="36">
        <f>'FOUND DATA'!B105</f>
        <v>9</v>
      </c>
      <c r="B102" s="35">
        <f>'FOUND DATA'!C105</f>
        <v>0.3</v>
      </c>
      <c r="C102" s="36">
        <f>'FOUND DATA'!D105</f>
        <v>1</v>
      </c>
      <c r="D102" s="35">
        <f>'FOUND DATA'!E105</f>
        <v>0.15</v>
      </c>
      <c r="E102" s="36">
        <f>'FOUND DATA'!F105</f>
        <v>1</v>
      </c>
      <c r="F102" s="35">
        <f>'FOUND DATA'!G105</f>
        <v>0.2</v>
      </c>
    </row>
    <row r="103">
      <c r="A103" s="36">
        <f>'FOUND DATA'!B106</f>
        <v>9</v>
      </c>
      <c r="B103" s="35">
        <f>'FOUND DATA'!C106</f>
        <v>0.3</v>
      </c>
      <c r="C103" s="36">
        <f>'FOUND DATA'!D106</f>
        <v>1</v>
      </c>
      <c r="D103" s="35">
        <f>'FOUND DATA'!E106</f>
        <v>0.15</v>
      </c>
      <c r="E103" s="36">
        <f>'FOUND DATA'!F106</f>
        <v>1</v>
      </c>
      <c r="F103" s="35">
        <f>'FOUND DATA'!G106</f>
        <v>0.2</v>
      </c>
    </row>
    <row r="104">
      <c r="A104" s="36">
        <f>'FOUND DATA'!B107</f>
        <v>9</v>
      </c>
      <c r="B104" s="35">
        <f>'FOUND DATA'!C107</f>
        <v>0.3</v>
      </c>
      <c r="C104" s="36">
        <f>'FOUND DATA'!D107</f>
        <v>1</v>
      </c>
      <c r="D104" s="35">
        <f>'FOUND DATA'!E107</f>
        <v>0.15</v>
      </c>
      <c r="E104" s="36">
        <f>'FOUND DATA'!F107</f>
        <v>1</v>
      </c>
      <c r="F104" s="35">
        <f>'FOUND DATA'!G107</f>
        <v>0.2</v>
      </c>
    </row>
    <row r="105">
      <c r="A105" s="36" t="str">
        <f>'FOUND DATA'!B108</f>
        <v>END</v>
      </c>
      <c r="B105" s="35" t="str">
        <f>'FOUND DATA'!C108</f>
        <v>END</v>
      </c>
      <c r="C105" s="35" t="str">
        <f>'FOUND DATA'!D108</f>
        <v>END</v>
      </c>
      <c r="D105" s="35" t="str">
        <f>'FOUND DATA'!E108</f>
        <v>END</v>
      </c>
      <c r="E105" s="35" t="str">
        <f>'FOUND DATA'!F108</f>
        <v>END</v>
      </c>
      <c r="F105" s="35" t="str">
        <f>'FOUND DATA'!G108</f>
        <v>END</v>
      </c>
    </row>
    <row r="106">
      <c r="A106" s="36" t="str">
        <f>'FOUND DATA'!B109</f>
        <v/>
      </c>
      <c r="B106" s="35" t="str">
        <f>'FOUND DATA'!C109</f>
        <v/>
      </c>
      <c r="C106" s="36" t="str">
        <f>'FOUND DATA'!D109</f>
        <v/>
      </c>
      <c r="D106" s="35" t="str">
        <f>'FOUND DATA'!E109</f>
        <v/>
      </c>
      <c r="E106" s="36" t="str">
        <f>'FOUND DATA'!F109</f>
        <v/>
      </c>
      <c r="F106" s="35" t="str">
        <f>'FOUND DATA'!G109</f>
        <v/>
      </c>
    </row>
    <row r="124">
      <c r="A124" s="36" t="str">
        <f>'FOUND DATA'!B126</f>
        <v/>
      </c>
      <c r="B124" s="35" t="str">
        <f>'FOUND DATA'!C126</f>
        <v/>
      </c>
      <c r="C124" s="36" t="str">
        <f>'FOUND DATA'!F126</f>
        <v/>
      </c>
      <c r="D124" s="35" t="str">
        <f>'FOUND DATA'!G126</f>
        <v/>
      </c>
      <c r="E124" s="36" t="str">
        <f>'FOUND DATA'!H126</f>
        <v/>
      </c>
      <c r="F124" s="35" t="str">
        <f>'FOUND DATA'!I126</f>
        <v/>
      </c>
    </row>
    <row r="125">
      <c r="A125" s="36" t="str">
        <f>'FOUND DATA'!B127</f>
        <v/>
      </c>
      <c r="B125" s="35" t="str">
        <f>'FOUND DATA'!C127</f>
        <v/>
      </c>
      <c r="C125" s="36" t="str">
        <f>'FOUND DATA'!F127</f>
        <v/>
      </c>
      <c r="D125" s="35" t="str">
        <f>'FOUND DATA'!G127</f>
        <v/>
      </c>
      <c r="E125" s="36" t="str">
        <f>'FOUND DATA'!H127</f>
        <v/>
      </c>
      <c r="F125" s="35" t="str">
        <f>'FOUND DATA'!I127</f>
        <v/>
      </c>
    </row>
    <row r="126">
      <c r="A126" s="36" t="str">
        <f>'FOUND DATA'!B128</f>
        <v/>
      </c>
      <c r="B126" s="35" t="str">
        <f>'FOUND DATA'!C128</f>
        <v/>
      </c>
      <c r="C126" s="36" t="str">
        <f>'FOUND DATA'!F128</f>
        <v/>
      </c>
      <c r="D126" s="35" t="str">
        <f>'FOUND DATA'!G128</f>
        <v/>
      </c>
      <c r="E126" s="36" t="str">
        <f>'FOUND DATA'!H128</f>
        <v/>
      </c>
      <c r="F126" s="35" t="str">
        <f>'FOUND DATA'!I128</f>
        <v/>
      </c>
    </row>
    <row r="127">
      <c r="A127" s="36" t="str">
        <f>'FOUND DATA'!B129</f>
        <v/>
      </c>
      <c r="B127" s="35" t="str">
        <f>'FOUND DATA'!C129</f>
        <v/>
      </c>
      <c r="C127" s="36" t="str">
        <f>'FOUND DATA'!F129</f>
        <v/>
      </c>
      <c r="D127" s="35" t="str">
        <f>'FOUND DATA'!G129</f>
        <v/>
      </c>
      <c r="E127" s="36" t="str">
        <f>'FOUND DATA'!H129</f>
        <v/>
      </c>
      <c r="F127" s="35" t="str">
        <f>'FOUND DATA'!I129</f>
        <v/>
      </c>
    </row>
    <row r="128">
      <c r="A128" s="36" t="str">
        <f>'FOUND DATA'!B130</f>
        <v/>
      </c>
      <c r="B128" s="35" t="str">
        <f>'FOUND DATA'!C130</f>
        <v/>
      </c>
      <c r="C128" s="36" t="str">
        <f>'FOUND DATA'!F130</f>
        <v/>
      </c>
      <c r="D128" s="35" t="str">
        <f>'FOUND DATA'!G130</f>
        <v/>
      </c>
      <c r="E128" s="36" t="str">
        <f>'FOUND DATA'!H130</f>
        <v/>
      </c>
      <c r="F128" s="35" t="str">
        <f>'FOUND DATA'!I130</f>
        <v/>
      </c>
    </row>
    <row r="129">
      <c r="A129" s="36" t="str">
        <f>'FOUND DATA'!B111</f>
        <v/>
      </c>
      <c r="B129" s="35" t="str">
        <f>'FOUND DATA'!C111</f>
        <v/>
      </c>
      <c r="C129" s="36" t="str">
        <f>'FOUND DATA'!F111</f>
        <v/>
      </c>
      <c r="D129" s="35" t="str">
        <f>'FOUND DATA'!G111</f>
        <v/>
      </c>
      <c r="E129" s="36" t="str">
        <f>'FOUND DATA'!H111</f>
        <v/>
      </c>
      <c r="F129" s="35" t="str">
        <f>'FOUND DATA'!I111</f>
        <v/>
      </c>
    </row>
    <row r="130">
      <c r="A130" s="36" t="str">
        <f>'FOUND DATA'!B112</f>
        <v/>
      </c>
      <c r="B130" s="35" t="str">
        <f>'FOUND DATA'!C112</f>
        <v/>
      </c>
      <c r="C130" s="36" t="str">
        <f>'FOUND DATA'!F112</f>
        <v/>
      </c>
      <c r="D130" s="35" t="str">
        <f>'FOUND DATA'!G112</f>
        <v/>
      </c>
      <c r="E130" s="36" t="str">
        <f>'FOUND DATA'!H112</f>
        <v/>
      </c>
      <c r="F130" s="35" t="str">
        <f>'FOUND DATA'!I112</f>
        <v/>
      </c>
    </row>
    <row r="131">
      <c r="A131" s="36" t="str">
        <f>'FOUND DATA'!B113</f>
        <v/>
      </c>
      <c r="B131" s="35" t="str">
        <f>'FOUND DATA'!C113</f>
        <v/>
      </c>
      <c r="C131" s="36" t="str">
        <f>'FOUND DATA'!F113</f>
        <v/>
      </c>
      <c r="D131" s="35" t="str">
        <f>'FOUND DATA'!G113</f>
        <v/>
      </c>
      <c r="E131" s="36" t="str">
        <f>'FOUND DATA'!H113</f>
        <v/>
      </c>
      <c r="F131" s="35" t="str">
        <f>'FOUND DATA'!I113</f>
        <v/>
      </c>
    </row>
    <row r="132">
      <c r="A132" s="36" t="str">
        <f>'FOUND DATA'!B114</f>
        <v/>
      </c>
      <c r="B132" s="35" t="str">
        <f>'FOUND DATA'!C114</f>
        <v/>
      </c>
      <c r="C132" s="36" t="str">
        <f>'FOUND DATA'!F114</f>
        <v/>
      </c>
      <c r="D132" s="35" t="str">
        <f>'FOUND DATA'!G114</f>
        <v/>
      </c>
      <c r="E132" s="36" t="str">
        <f>'FOUND DATA'!H114</f>
        <v/>
      </c>
      <c r="F132" s="35" t="str">
        <f>'FOUND DATA'!I114</f>
        <v/>
      </c>
    </row>
    <row r="146">
      <c r="A146" s="36" t="str">
        <f>'FOUND DATA'!B124</f>
        <v/>
      </c>
      <c r="B146" s="35" t="str">
        <f>'FOUND DATA'!C124</f>
        <v/>
      </c>
      <c r="C146" s="36" t="str">
        <f>'FOUND DATA'!F124</f>
        <v/>
      </c>
      <c r="D146" s="35" t="str">
        <f>'FOUND DATA'!G124</f>
        <v/>
      </c>
      <c r="E146" s="36" t="str">
        <f>'FOUND DATA'!H124</f>
        <v/>
      </c>
      <c r="F146" s="35" t="str">
        <f>'FOUND DATA'!I124</f>
        <v/>
      </c>
    </row>
    <row r="147">
      <c r="A147" s="36" t="str">
        <f>'FOUND DATA'!B125</f>
        <v/>
      </c>
      <c r="B147" s="35" t="str">
        <f>'FOUND DATA'!C125</f>
        <v/>
      </c>
      <c r="C147" s="36" t="str">
        <f>'FOUND DATA'!F125</f>
        <v/>
      </c>
      <c r="D147" s="35" t="str">
        <f>'FOUND DATA'!G125</f>
        <v/>
      </c>
      <c r="E147" s="36" t="str">
        <f>'FOUND DATA'!H125</f>
        <v/>
      </c>
      <c r="F147" s="35" t="str">
        <f>'FOUND DATA'!I125</f>
        <v/>
      </c>
    </row>
    <row r="148">
      <c r="A148" s="36" t="str">
        <f>'FOUND DATA'!B126</f>
        <v/>
      </c>
      <c r="B148" s="35" t="str">
        <f>'FOUND DATA'!C126</f>
        <v/>
      </c>
      <c r="C148" s="36" t="str">
        <f>'FOUND DATA'!F126</f>
        <v/>
      </c>
      <c r="D148" s="35" t="str">
        <f>'FOUND DATA'!G126</f>
        <v/>
      </c>
      <c r="E148" s="36" t="str">
        <f>'FOUND DATA'!H126</f>
        <v/>
      </c>
      <c r="F148" s="35" t="str">
        <f>'FOUND DATA'!I126</f>
        <v/>
      </c>
    </row>
    <row r="149">
      <c r="A149" s="36" t="str">
        <f>'FOUND DATA'!B127</f>
        <v/>
      </c>
      <c r="B149" s="35" t="str">
        <f>'FOUND DATA'!C127</f>
        <v/>
      </c>
      <c r="C149" s="36" t="str">
        <f>'FOUND DATA'!F127</f>
        <v/>
      </c>
      <c r="D149" s="35" t="str">
        <f>'FOUND DATA'!G127</f>
        <v/>
      </c>
      <c r="E149" s="36" t="str">
        <f>'FOUND DATA'!H127</f>
        <v/>
      </c>
      <c r="F149" s="35" t="str">
        <f>'FOUND DATA'!I127</f>
        <v/>
      </c>
    </row>
    <row r="150">
      <c r="A150" s="36" t="str">
        <f>'FOUND DATA'!B128</f>
        <v/>
      </c>
      <c r="B150" s="35" t="str">
        <f>'FOUND DATA'!C128</f>
        <v/>
      </c>
      <c r="C150" s="36" t="str">
        <f>'FOUND DATA'!F128</f>
        <v/>
      </c>
      <c r="D150" s="35" t="str">
        <f>'FOUND DATA'!G128</f>
        <v/>
      </c>
      <c r="E150" s="36" t="str">
        <f>'FOUND DATA'!H128</f>
        <v/>
      </c>
      <c r="F150" s="35" t="str">
        <f>'FOUND DATA'!I128</f>
        <v/>
      </c>
    </row>
    <row r="151">
      <c r="A151" s="36" t="str">
        <f>'FOUND DATA'!B129</f>
        <v/>
      </c>
      <c r="B151" s="35" t="str">
        <f>'FOUND DATA'!C129</f>
        <v/>
      </c>
      <c r="C151" s="36" t="str">
        <f>'FOUND DATA'!F129</f>
        <v/>
      </c>
      <c r="D151" s="35" t="str">
        <f>'FOUND DATA'!G129</f>
        <v/>
      </c>
      <c r="E151" s="36" t="str">
        <f>'FOUND DATA'!H129</f>
        <v/>
      </c>
      <c r="F151" s="35" t="str">
        <f>'FOUND DATA'!I129</f>
        <v/>
      </c>
    </row>
    <row r="152">
      <c r="A152" s="36" t="str">
        <f>'FOUND DATA'!B130</f>
        <v/>
      </c>
      <c r="B152" s="35" t="str">
        <f>'FOUND DATA'!C130</f>
        <v/>
      </c>
      <c r="C152" s="36" t="str">
        <f>'FOUND DATA'!F130</f>
        <v/>
      </c>
      <c r="D152" s="35" t="str">
        <f>'FOUND DATA'!G130</f>
        <v/>
      </c>
      <c r="E152" s="36" t="str">
        <f>'FOUND DATA'!H130</f>
        <v/>
      </c>
      <c r="F152" s="35" t="str">
        <f>'FOUND DATA'!I130</f>
        <v/>
      </c>
    </row>
    <row r="153">
      <c r="A153" s="36" t="str">
        <f>'FOUND DATA'!B131</f>
        <v/>
      </c>
      <c r="B153" s="35" t="str">
        <f>'FOUND DATA'!C131</f>
        <v/>
      </c>
      <c r="C153" s="36" t="str">
        <f>'FOUND DATA'!F131</f>
        <v/>
      </c>
      <c r="D153" s="35" t="str">
        <f>'FOUND DATA'!G131</f>
        <v/>
      </c>
      <c r="E153" s="36" t="str">
        <f>'FOUND DATA'!H131</f>
        <v/>
      </c>
      <c r="F153" s="35" t="str">
        <f>'FOUND DATA'!I131</f>
        <v/>
      </c>
    </row>
    <row r="154">
      <c r="A154" s="36" t="str">
        <f>'FOUND DATA'!B132</f>
        <v/>
      </c>
      <c r="B154" s="35" t="str">
        <f>'FOUND DATA'!C132</f>
        <v/>
      </c>
      <c r="C154" s="36" t="str">
        <f>'FOUND DATA'!F132</f>
        <v/>
      </c>
      <c r="D154" s="35" t="str">
        <f>'FOUND DATA'!G132</f>
        <v/>
      </c>
      <c r="E154" s="36" t="str">
        <f>'FOUND DATA'!H132</f>
        <v/>
      </c>
      <c r="F154" s="35" t="str">
        <f>'FOUND DATA'!I132</f>
        <v/>
      </c>
    </row>
    <row r="155">
      <c r="A155" s="36" t="str">
        <f>'FOUND DATA'!B133</f>
        <v/>
      </c>
      <c r="B155" s="35" t="str">
        <f>'FOUND DATA'!C133</f>
        <v/>
      </c>
      <c r="C155" s="36" t="str">
        <f>'FOUND DATA'!F133</f>
        <v/>
      </c>
      <c r="D155" s="35" t="str">
        <f>'FOUND DATA'!G133</f>
        <v/>
      </c>
      <c r="E155" s="36" t="str">
        <f>'FOUND DATA'!H133</f>
        <v/>
      </c>
      <c r="F155" s="35" t="str">
        <f>'FOUND DATA'!I133</f>
        <v/>
      </c>
    </row>
    <row r="156">
      <c r="A156" s="36" t="str">
        <f>'FOUND DATA'!B134</f>
        <v/>
      </c>
      <c r="B156" s="35" t="str">
        <f>'FOUND DATA'!C134</f>
        <v/>
      </c>
      <c r="C156" s="36" t="str">
        <f>'FOUND DATA'!F134</f>
        <v/>
      </c>
      <c r="D156" s="35" t="str">
        <f>'FOUND DATA'!G134</f>
        <v/>
      </c>
      <c r="E156" s="36" t="str">
        <f>'FOUND DATA'!H134</f>
        <v/>
      </c>
      <c r="F156" s="35" t="str">
        <f>'FOUND DATA'!I134</f>
        <v/>
      </c>
    </row>
    <row r="157">
      <c r="A157" s="36" t="str">
        <f>'FOUND DATA'!B135</f>
        <v/>
      </c>
      <c r="B157" s="35" t="str">
        <f>'FOUND DATA'!C135</f>
        <v/>
      </c>
      <c r="C157" s="36" t="str">
        <f>'FOUND DATA'!F135</f>
        <v/>
      </c>
      <c r="D157" s="35" t="str">
        <f>'FOUND DATA'!G135</f>
        <v/>
      </c>
      <c r="E157" s="36" t="str">
        <f>'FOUND DATA'!H135</f>
        <v/>
      </c>
      <c r="F157" s="35" t="str">
        <f>'FOUND DATA'!I135</f>
        <v/>
      </c>
    </row>
    <row r="158">
      <c r="A158" s="36" t="str">
        <f>'FOUND DATA'!B136</f>
        <v/>
      </c>
      <c r="B158" s="35" t="str">
        <f>'FOUND DATA'!C136</f>
        <v/>
      </c>
      <c r="C158" s="36" t="str">
        <f>'FOUND DATA'!F136</f>
        <v/>
      </c>
      <c r="D158" s="35" t="str">
        <f>'FOUND DATA'!G136</f>
        <v/>
      </c>
      <c r="E158" s="36" t="str">
        <f>'FOUND DATA'!H136</f>
        <v/>
      </c>
      <c r="F158" s="35" t="str">
        <f>'FOUND DATA'!I136</f>
        <v/>
      </c>
    </row>
    <row r="159">
      <c r="A159" s="36" t="str">
        <f>'FOUND DATA'!B137</f>
        <v/>
      </c>
      <c r="B159" s="35" t="str">
        <f>'FOUND DATA'!C137</f>
        <v/>
      </c>
      <c r="C159" s="36" t="str">
        <f>'FOUND DATA'!F137</f>
        <v/>
      </c>
      <c r="D159" s="35" t="str">
        <f>'FOUND DATA'!G137</f>
        <v/>
      </c>
      <c r="E159" s="36" t="str">
        <f>'FOUND DATA'!H137</f>
        <v/>
      </c>
      <c r="F159" s="35" t="str">
        <f>'FOUND DATA'!I137</f>
        <v/>
      </c>
    </row>
    <row r="160">
      <c r="A160" s="36" t="str">
        <f>'FOUND DATA'!B138</f>
        <v/>
      </c>
      <c r="B160" s="35" t="str">
        <f>'FOUND DATA'!C138</f>
        <v/>
      </c>
      <c r="C160" s="36" t="str">
        <f>'FOUND DATA'!F138</f>
        <v/>
      </c>
      <c r="D160" s="35" t="str">
        <f>'FOUND DATA'!G138</f>
        <v/>
      </c>
      <c r="E160" s="36" t="str">
        <f>'FOUND DATA'!H138</f>
        <v/>
      </c>
      <c r="F160" s="35" t="str">
        <f>'FOUND DATA'!I138</f>
        <v/>
      </c>
    </row>
    <row r="161">
      <c r="A161" s="36" t="str">
        <f>'FOUND DATA'!B139</f>
        <v/>
      </c>
      <c r="B161" s="35" t="str">
        <f>'FOUND DATA'!C139</f>
        <v/>
      </c>
      <c r="C161" s="36" t="str">
        <f>'FOUND DATA'!F139</f>
        <v/>
      </c>
      <c r="D161" s="35" t="str">
        <f>'FOUND DATA'!G139</f>
        <v/>
      </c>
      <c r="E161" s="36" t="str">
        <f>'FOUND DATA'!H139</f>
        <v/>
      </c>
      <c r="F161" s="35" t="str">
        <f>'FOUND DATA'!I139</f>
        <v/>
      </c>
    </row>
    <row r="162">
      <c r="A162" s="36" t="str">
        <f>'FOUND DATA'!B140</f>
        <v/>
      </c>
      <c r="B162" s="35" t="str">
        <f>'FOUND DATA'!C140</f>
        <v/>
      </c>
      <c r="C162" s="36" t="str">
        <f>'FOUND DATA'!F140</f>
        <v/>
      </c>
      <c r="D162" s="35" t="str">
        <f>'FOUND DATA'!G140</f>
        <v/>
      </c>
      <c r="E162" s="36" t="str">
        <f>'FOUND DATA'!H140</f>
        <v/>
      </c>
      <c r="F162" s="35" t="str">
        <f>'FOUND DATA'!I140</f>
        <v/>
      </c>
    </row>
    <row r="163">
      <c r="A163" s="36" t="str">
        <f>'FOUND DATA'!B141</f>
        <v/>
      </c>
      <c r="B163" s="35" t="str">
        <f>'FOUND DATA'!C141</f>
        <v/>
      </c>
      <c r="C163" s="36" t="str">
        <f>'FOUND DATA'!F141</f>
        <v/>
      </c>
      <c r="D163" s="35" t="str">
        <f>'FOUND DATA'!G141</f>
        <v/>
      </c>
      <c r="E163" s="36" t="str">
        <f>'FOUND DATA'!H141</f>
        <v/>
      </c>
      <c r="F163" s="35" t="str">
        <f>'FOUND DATA'!I141</f>
        <v/>
      </c>
    </row>
    <row r="164">
      <c r="A164" s="36" t="str">
        <f>'FOUND DATA'!B142</f>
        <v/>
      </c>
      <c r="B164" s="35" t="str">
        <f>'FOUND DATA'!C142</f>
        <v/>
      </c>
      <c r="C164" s="36" t="str">
        <f>'FOUND DATA'!F142</f>
        <v/>
      </c>
      <c r="D164" s="35" t="str">
        <f>'FOUND DATA'!G142</f>
        <v/>
      </c>
      <c r="E164" s="36" t="str">
        <f>'FOUND DATA'!H142</f>
        <v/>
      </c>
      <c r="F164" s="35" t="str">
        <f>'FOUND DATA'!I142</f>
        <v/>
      </c>
    </row>
    <row r="165">
      <c r="A165" s="36" t="str">
        <f>'FOUND DATA'!B143</f>
        <v/>
      </c>
      <c r="B165" s="35" t="str">
        <f>'FOUND DATA'!C143</f>
        <v/>
      </c>
      <c r="C165" s="36" t="str">
        <f>'FOUND DATA'!F143</f>
        <v/>
      </c>
      <c r="D165" s="35" t="str">
        <f>'FOUND DATA'!G143</f>
        <v/>
      </c>
      <c r="E165" s="36" t="str">
        <f>'FOUND DATA'!H143</f>
        <v/>
      </c>
      <c r="F165" s="35" t="str">
        <f>'FOUND DATA'!I143</f>
        <v/>
      </c>
    </row>
    <row r="166">
      <c r="A166" s="36" t="str">
        <f>'FOUND DATA'!B144</f>
        <v/>
      </c>
      <c r="B166" s="35" t="str">
        <f>'FOUND DATA'!C144</f>
        <v/>
      </c>
      <c r="C166" s="36" t="str">
        <f>'FOUND DATA'!F144</f>
        <v/>
      </c>
      <c r="D166" s="35" t="str">
        <f>'FOUND DATA'!G144</f>
        <v/>
      </c>
      <c r="E166" s="36" t="str">
        <f>'FOUND DATA'!H144</f>
        <v/>
      </c>
      <c r="F166" s="35" t="str">
        <f>'FOUND DATA'!I144</f>
        <v/>
      </c>
    </row>
    <row r="167">
      <c r="A167" s="36" t="str">
        <f>'FOUND DATA'!B145</f>
        <v/>
      </c>
      <c r="B167" s="35" t="str">
        <f>'FOUND DATA'!C145</f>
        <v/>
      </c>
      <c r="C167" s="36" t="str">
        <f>'FOUND DATA'!F145</f>
        <v/>
      </c>
      <c r="D167" s="35" t="str">
        <f>'FOUND DATA'!G145</f>
        <v/>
      </c>
      <c r="E167" s="36" t="str">
        <f>'FOUND DATA'!H145</f>
        <v/>
      </c>
      <c r="F167" s="35" t="str">
        <f>'FOUND DATA'!I145</f>
        <v/>
      </c>
    </row>
    <row r="168">
      <c r="A168" s="36" t="str">
        <f>'FOUND DATA'!B146</f>
        <v/>
      </c>
      <c r="B168" s="35" t="str">
        <f>'FOUND DATA'!C146</f>
        <v/>
      </c>
      <c r="C168" s="36" t="str">
        <f>'FOUND DATA'!F146</f>
        <v/>
      </c>
      <c r="D168" s="35" t="str">
        <f>'FOUND DATA'!G146</f>
        <v/>
      </c>
      <c r="E168" s="36" t="str">
        <f>'FOUND DATA'!H146</f>
        <v/>
      </c>
      <c r="F168" s="35" t="str">
        <f>'FOUND DATA'!I146</f>
        <v/>
      </c>
    </row>
    <row r="169">
      <c r="A169" s="36" t="str">
        <f>'FOUND DATA'!B147</f>
        <v/>
      </c>
      <c r="B169" s="35" t="str">
        <f>'FOUND DATA'!C147</f>
        <v/>
      </c>
      <c r="C169" s="36" t="str">
        <f>'FOUND DATA'!F147</f>
        <v/>
      </c>
      <c r="D169" s="35" t="str">
        <f>'FOUND DATA'!G147</f>
        <v/>
      </c>
      <c r="E169" s="36" t="str">
        <f>'FOUND DATA'!H147</f>
        <v/>
      </c>
      <c r="F169" s="35" t="str">
        <f>'FOUND DATA'!I147</f>
        <v/>
      </c>
    </row>
    <row r="170">
      <c r="A170" s="36" t="str">
        <f>'FOUND DATA'!B148</f>
        <v/>
      </c>
      <c r="B170" s="35" t="str">
        <f>'FOUND DATA'!C148</f>
        <v/>
      </c>
      <c r="C170" s="36" t="str">
        <f>'FOUND DATA'!F148</f>
        <v/>
      </c>
      <c r="D170" s="35" t="str">
        <f>'FOUND DATA'!G148</f>
        <v/>
      </c>
      <c r="E170" s="36" t="str">
        <f>'FOUND DATA'!H148</f>
        <v/>
      </c>
      <c r="F170" s="35" t="str">
        <f>'FOUND DATA'!I148</f>
        <v/>
      </c>
    </row>
    <row r="171">
      <c r="A171" s="36" t="str">
        <f>'FOUND DATA'!B149</f>
        <v/>
      </c>
      <c r="B171" s="35" t="str">
        <f>'FOUND DATA'!C149</f>
        <v/>
      </c>
      <c r="C171" s="36" t="str">
        <f>'FOUND DATA'!F149</f>
        <v/>
      </c>
      <c r="D171" s="35" t="str">
        <f>'FOUND DATA'!G149</f>
        <v/>
      </c>
      <c r="E171" s="36" t="str">
        <f>'FOUND DATA'!H149</f>
        <v/>
      </c>
      <c r="F171" s="35" t="str">
        <f>'FOUND DATA'!I149</f>
        <v/>
      </c>
    </row>
    <row r="172">
      <c r="A172" s="36" t="str">
        <f>'FOUND DATA'!B150</f>
        <v/>
      </c>
      <c r="B172" s="35" t="str">
        <f>'FOUND DATA'!C150</f>
        <v/>
      </c>
      <c r="C172" s="36" t="str">
        <f>'FOUND DATA'!F150</f>
        <v/>
      </c>
      <c r="D172" s="35" t="str">
        <f>'FOUND DATA'!G150</f>
        <v/>
      </c>
      <c r="E172" s="36" t="str">
        <f>'FOUND DATA'!H150</f>
        <v/>
      </c>
      <c r="F172" s="35" t="str">
        <f>'FOUND DATA'!I150</f>
        <v/>
      </c>
    </row>
    <row r="173">
      <c r="A173" s="36" t="str">
        <f>'FOUND DATA'!B151</f>
        <v/>
      </c>
      <c r="B173" s="35" t="str">
        <f>'FOUND DATA'!C151</f>
        <v/>
      </c>
      <c r="C173" s="36" t="str">
        <f>'FOUND DATA'!F151</f>
        <v/>
      </c>
      <c r="D173" s="35" t="str">
        <f>'FOUND DATA'!G151</f>
        <v/>
      </c>
      <c r="E173" s="36" t="str">
        <f>'FOUND DATA'!H151</f>
        <v/>
      </c>
      <c r="F173" s="35" t="str">
        <f>'FOUND DATA'!I151</f>
        <v/>
      </c>
    </row>
    <row r="174">
      <c r="A174" s="36" t="str">
        <f>'FOUND DATA'!B152</f>
        <v/>
      </c>
      <c r="B174" s="35" t="str">
        <f>'FOUND DATA'!C152</f>
        <v/>
      </c>
      <c r="C174" s="36" t="str">
        <f>'FOUND DATA'!F152</f>
        <v/>
      </c>
      <c r="D174" s="35" t="str">
        <f>'FOUND DATA'!G152</f>
        <v/>
      </c>
      <c r="E174" s="36" t="str">
        <f>'FOUND DATA'!H152</f>
        <v/>
      </c>
      <c r="F174" s="35" t="str">
        <f>'FOUND DATA'!I152</f>
        <v/>
      </c>
    </row>
    <row r="175">
      <c r="A175" s="36" t="str">
        <f>'FOUND DATA'!B153</f>
        <v/>
      </c>
      <c r="B175" s="35" t="str">
        <f>'FOUND DATA'!C153</f>
        <v/>
      </c>
      <c r="C175" s="36" t="str">
        <f>'FOUND DATA'!F153</f>
        <v/>
      </c>
      <c r="D175" s="35" t="str">
        <f>'FOUND DATA'!G153</f>
        <v/>
      </c>
      <c r="E175" s="36" t="str">
        <f>'FOUND DATA'!H153</f>
        <v/>
      </c>
      <c r="F175" s="35" t="str">
        <f>'FOUND DATA'!I153</f>
        <v/>
      </c>
    </row>
    <row r="176">
      <c r="A176" s="36" t="str">
        <f>'FOUND DATA'!B154</f>
        <v/>
      </c>
      <c r="B176" s="35" t="str">
        <f>'FOUND DATA'!C154</f>
        <v/>
      </c>
      <c r="C176" s="36" t="str">
        <f>'FOUND DATA'!F154</f>
        <v/>
      </c>
      <c r="D176" s="35" t="str">
        <f>'FOUND DATA'!G154</f>
        <v/>
      </c>
      <c r="E176" s="36" t="str">
        <f>'FOUND DATA'!H154</f>
        <v/>
      </c>
      <c r="F176" s="35" t="str">
        <f>'FOUND DATA'!I154</f>
        <v/>
      </c>
    </row>
    <row r="177">
      <c r="A177" s="36" t="str">
        <f>'FOUND DATA'!B155</f>
        <v/>
      </c>
      <c r="B177" s="35" t="str">
        <f>'FOUND DATA'!C155</f>
        <v/>
      </c>
      <c r="C177" s="36" t="str">
        <f>'FOUND DATA'!F155</f>
        <v/>
      </c>
      <c r="D177" s="35" t="str">
        <f>'FOUND DATA'!G155</f>
        <v/>
      </c>
      <c r="E177" s="36" t="str">
        <f>'FOUND DATA'!H155</f>
        <v/>
      </c>
      <c r="F177" s="35" t="str">
        <f>'FOUND DATA'!I155</f>
        <v/>
      </c>
    </row>
    <row r="178">
      <c r="A178" s="36" t="str">
        <f>'FOUND DATA'!B156</f>
        <v/>
      </c>
      <c r="B178" s="35" t="str">
        <f>'FOUND DATA'!C156</f>
        <v/>
      </c>
      <c r="C178" s="36" t="str">
        <f>'FOUND DATA'!F156</f>
        <v/>
      </c>
      <c r="D178" s="35" t="str">
        <f>'FOUND DATA'!G156</f>
        <v/>
      </c>
      <c r="E178" s="36" t="str">
        <f>'FOUND DATA'!H156</f>
        <v/>
      </c>
      <c r="F178" s="35" t="str">
        <f>'FOUND DATA'!I156</f>
        <v/>
      </c>
    </row>
    <row r="179">
      <c r="A179" s="36" t="str">
        <f>'FOUND DATA'!B157</f>
        <v/>
      </c>
      <c r="B179" s="35" t="str">
        <f>'FOUND DATA'!C157</f>
        <v/>
      </c>
      <c r="C179" s="36" t="str">
        <f>'FOUND DATA'!F157</f>
        <v/>
      </c>
      <c r="D179" s="35" t="str">
        <f>'FOUND DATA'!G157</f>
        <v/>
      </c>
      <c r="E179" s="36" t="str">
        <f>'FOUND DATA'!H157</f>
        <v/>
      </c>
      <c r="F179" s="35" t="str">
        <f>'FOUND DATA'!I157</f>
        <v/>
      </c>
    </row>
    <row r="180">
      <c r="A180" s="36" t="str">
        <f>'FOUND DATA'!B158</f>
        <v/>
      </c>
      <c r="B180" s="35" t="str">
        <f>'FOUND DATA'!C158</f>
        <v/>
      </c>
      <c r="C180" s="36" t="str">
        <f>'FOUND DATA'!F158</f>
        <v/>
      </c>
      <c r="D180" s="35" t="str">
        <f>'FOUND DATA'!G158</f>
        <v/>
      </c>
      <c r="E180" s="36" t="str">
        <f>'FOUND DATA'!H158</f>
        <v/>
      </c>
      <c r="F180" s="35" t="str">
        <f>'FOUND DATA'!I158</f>
        <v/>
      </c>
    </row>
    <row r="181">
      <c r="A181" s="36" t="str">
        <f>'FOUND DATA'!B159</f>
        <v/>
      </c>
      <c r="B181" s="35" t="str">
        <f>'FOUND DATA'!C159</f>
        <v/>
      </c>
      <c r="C181" s="36" t="str">
        <f>'FOUND DATA'!F159</f>
        <v/>
      </c>
      <c r="D181" s="35" t="str">
        <f>'FOUND DATA'!G159</f>
        <v/>
      </c>
      <c r="E181" s="36" t="str">
        <f>'FOUND DATA'!H159</f>
        <v/>
      </c>
      <c r="F181" s="35" t="str">
        <f>'FOUND DATA'!I159</f>
        <v/>
      </c>
    </row>
    <row r="182">
      <c r="A182" s="36" t="str">
        <f>'FOUND DATA'!B160</f>
        <v/>
      </c>
      <c r="B182" s="35" t="str">
        <f>'FOUND DATA'!C160</f>
        <v/>
      </c>
      <c r="C182" s="36" t="str">
        <f>'FOUND DATA'!F160</f>
        <v/>
      </c>
      <c r="D182" s="35" t="str">
        <f>'FOUND DATA'!G160</f>
        <v/>
      </c>
      <c r="E182" s="36" t="str">
        <f>'FOUND DATA'!H160</f>
        <v/>
      </c>
      <c r="F182" s="35" t="str">
        <f>'FOUND DATA'!I160</f>
        <v/>
      </c>
    </row>
    <row r="183">
      <c r="A183" s="36" t="str">
        <f>'FOUND DATA'!B161</f>
        <v/>
      </c>
      <c r="B183" s="35" t="str">
        <f>'FOUND DATA'!C161</f>
        <v/>
      </c>
      <c r="C183" s="36" t="str">
        <f>'FOUND DATA'!F161</f>
        <v/>
      </c>
      <c r="D183" s="35" t="str">
        <f>'FOUND DATA'!G161</f>
        <v/>
      </c>
      <c r="E183" s="36" t="str">
        <f>'FOUND DATA'!H161</f>
        <v/>
      </c>
      <c r="F183" s="35" t="str">
        <f>'FOUND DATA'!I161</f>
        <v/>
      </c>
    </row>
    <row r="184">
      <c r="A184" s="36" t="str">
        <f>'FOUND DATA'!B162</f>
        <v/>
      </c>
      <c r="B184" s="35" t="str">
        <f>'FOUND DATA'!C162</f>
        <v/>
      </c>
      <c r="C184" s="36" t="str">
        <f>'FOUND DATA'!F162</f>
        <v/>
      </c>
      <c r="D184" s="35" t="str">
        <f>'FOUND DATA'!G162</f>
        <v/>
      </c>
      <c r="E184" s="36" t="str">
        <f>'FOUND DATA'!H162</f>
        <v/>
      </c>
      <c r="F184" s="35" t="str">
        <f>'FOUND DATA'!I162</f>
        <v/>
      </c>
    </row>
    <row r="185">
      <c r="A185" s="36" t="str">
        <f>'FOUND DATA'!B163</f>
        <v/>
      </c>
      <c r="B185" s="35" t="str">
        <f>'FOUND DATA'!C163</f>
        <v/>
      </c>
      <c r="C185" s="36" t="str">
        <f>'FOUND DATA'!F163</f>
        <v/>
      </c>
      <c r="D185" s="35" t="str">
        <f>'FOUND DATA'!G163</f>
        <v/>
      </c>
      <c r="E185" s="36" t="str">
        <f>'FOUND DATA'!H163</f>
        <v/>
      </c>
      <c r="F185" s="35" t="str">
        <f>'FOUND DATA'!I163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</cols>
  <sheetData>
    <row r="1">
      <c r="A1" s="36" t="str">
        <f>'FOUND DATA'!B4</f>
        <v># HWs</v>
      </c>
      <c r="B1" s="35" t="str">
        <f>'FOUND DATA'!C4</f>
        <v>HW Weight</v>
      </c>
      <c r="C1" s="36" t="str">
        <f>'FOUND DATA'!D4</f>
        <v># Project Assignments</v>
      </c>
      <c r="D1" s="35" t="str">
        <f>'FOUND DATA'!E4</f>
        <v>Project Weight</v>
      </c>
    </row>
    <row r="2">
      <c r="A2" s="36">
        <f>'FOUND DATA'!B5</f>
        <v>5</v>
      </c>
      <c r="B2" s="35">
        <f>'FOUND DATA'!C5</f>
        <v>0.2</v>
      </c>
      <c r="C2" s="36">
        <f>'FOUND DATA'!D5</f>
        <v>10</v>
      </c>
      <c r="D2" s="35">
        <f>'FOUND DATA'!E5</f>
        <v>0.6</v>
      </c>
    </row>
    <row r="3">
      <c r="A3" s="36">
        <f>'FOUND DATA'!B6</f>
        <v>8</v>
      </c>
      <c r="B3" s="35">
        <f>'FOUND DATA'!C6</f>
        <v>0.32</v>
      </c>
      <c r="C3" s="36">
        <f>'FOUND DATA'!D6</f>
        <v>4</v>
      </c>
      <c r="D3" s="35">
        <f>'FOUND DATA'!E6</f>
        <v>0.16</v>
      </c>
    </row>
    <row r="4">
      <c r="A4" s="36">
        <f>'FOUND DATA'!B7</f>
        <v>8</v>
      </c>
      <c r="B4" s="35">
        <f>'FOUND DATA'!C7</f>
        <v>0.32</v>
      </c>
      <c r="C4" s="36">
        <f>'FOUND DATA'!D7</f>
        <v>4</v>
      </c>
      <c r="D4" s="35">
        <f>'FOUND DATA'!E7</f>
        <v>0.16</v>
      </c>
    </row>
    <row r="5">
      <c r="A5" s="36">
        <f>'FOUND DATA'!B8</f>
        <v>8</v>
      </c>
      <c r="B5" s="35">
        <f>'FOUND DATA'!C8</f>
        <v>0.3</v>
      </c>
      <c r="C5" s="36">
        <f>'FOUND DATA'!D8</f>
        <v>6</v>
      </c>
      <c r="D5" s="35">
        <f>'FOUND DATA'!E8</f>
        <v>0.2</v>
      </c>
    </row>
    <row r="6">
      <c r="A6" s="36">
        <f>'FOUND DATA'!B9</f>
        <v>16</v>
      </c>
      <c r="B6" s="35">
        <f>'FOUND DATA'!C9</f>
        <v>0.5</v>
      </c>
      <c r="C6" s="36">
        <f>'FOUND DATA'!D9</f>
        <v>6</v>
      </c>
      <c r="D6" s="35">
        <f>'FOUND DATA'!E9</f>
        <v>0.2</v>
      </c>
    </row>
    <row r="7">
      <c r="A7" s="36">
        <f>'FOUND DATA'!B10</f>
        <v>9</v>
      </c>
      <c r="B7" s="35">
        <f>'FOUND DATA'!C10</f>
        <v>0.36</v>
      </c>
      <c r="C7" s="36">
        <f>'FOUND DATA'!D10</f>
        <v>0</v>
      </c>
      <c r="D7" s="35">
        <f>'FOUND DATA'!E10</f>
        <v>0</v>
      </c>
    </row>
    <row r="8">
      <c r="A8" s="36">
        <f>'FOUND DATA'!B11</f>
        <v>11</v>
      </c>
      <c r="B8" s="35">
        <f>'FOUND DATA'!C11</f>
        <v>0.25</v>
      </c>
      <c r="C8" s="36">
        <f>'FOUND DATA'!D11</f>
        <v>5</v>
      </c>
      <c r="D8" s="35">
        <f>'FOUND DATA'!E11</f>
        <v>0.15</v>
      </c>
    </row>
    <row r="9">
      <c r="A9" s="36">
        <f>'FOUND DATA'!B12</f>
        <v>11</v>
      </c>
      <c r="B9" s="35">
        <f>'FOUND DATA'!C12</f>
        <v>0.25</v>
      </c>
      <c r="C9" s="36">
        <f>'FOUND DATA'!D12</f>
        <v>4</v>
      </c>
      <c r="D9" s="35">
        <f>'FOUND DATA'!E12</f>
        <v>0.15</v>
      </c>
    </row>
    <row r="10">
      <c r="A10" s="36">
        <f>'FOUND DATA'!B13</f>
        <v>10</v>
      </c>
      <c r="B10" s="35">
        <f>'FOUND DATA'!C13</f>
        <v>0.25</v>
      </c>
      <c r="C10" s="36">
        <f>'FOUND DATA'!D13</f>
        <v>9</v>
      </c>
      <c r="D10" s="35">
        <f>'FOUND DATA'!E13</f>
        <v>0.15</v>
      </c>
    </row>
    <row r="11">
      <c r="A11" s="36">
        <f>'FOUND DATA'!B14</f>
        <v>10</v>
      </c>
      <c r="B11" s="35">
        <f>'FOUND DATA'!C14</f>
        <v>0.25</v>
      </c>
      <c r="C11" s="36">
        <f>'FOUND DATA'!D14</f>
        <v>6</v>
      </c>
      <c r="D11" s="35">
        <f>'FOUND DATA'!E14</f>
        <v>0.15</v>
      </c>
    </row>
    <row r="12">
      <c r="A12" s="36">
        <f>'FOUND DATA'!B15</f>
        <v>10</v>
      </c>
      <c r="B12" s="35">
        <f>'FOUND DATA'!C15</f>
        <v>0.25</v>
      </c>
      <c r="C12" s="36">
        <f>'FOUND DATA'!D15</f>
        <v>1</v>
      </c>
      <c r="D12" s="35">
        <f>'FOUND DATA'!E15</f>
        <v>0.1</v>
      </c>
    </row>
    <row r="13">
      <c r="A13" s="36">
        <f>'FOUND DATA'!B16</f>
        <v>10</v>
      </c>
      <c r="B13" s="35">
        <f>'FOUND DATA'!C16</f>
        <v>0.25</v>
      </c>
      <c r="C13" s="36">
        <f>'FOUND DATA'!D16</f>
        <v>1</v>
      </c>
      <c r="D13" s="35">
        <f>'FOUND DATA'!E16</f>
        <v>0.1</v>
      </c>
    </row>
    <row r="14">
      <c r="A14" s="36">
        <f>'FOUND DATA'!B17</f>
        <v>12</v>
      </c>
      <c r="B14" s="35">
        <f>'FOUND DATA'!C17</f>
        <v>0.45</v>
      </c>
      <c r="C14" s="36">
        <f>'FOUND DATA'!D17</f>
        <v>11</v>
      </c>
      <c r="D14" s="35">
        <f>'FOUND DATA'!E17</f>
        <v>0.5</v>
      </c>
    </row>
    <row r="15">
      <c r="A15" s="36">
        <f>'FOUND DATA'!B18</f>
        <v>8</v>
      </c>
      <c r="B15" s="35">
        <f>'FOUND DATA'!C18</f>
        <v>0.15</v>
      </c>
      <c r="C15" s="36">
        <f>'FOUND DATA'!D18</f>
        <v>1</v>
      </c>
      <c r="D15" s="35">
        <f>'FOUND DATA'!E18</f>
        <v>0.1</v>
      </c>
    </row>
    <row r="16">
      <c r="A16" s="36">
        <f>'FOUND DATA'!B19</f>
        <v>4</v>
      </c>
      <c r="B16" s="35">
        <f>'FOUND DATA'!C19</f>
        <v>0.2</v>
      </c>
      <c r="C16" s="36">
        <f>'FOUND DATA'!D19</f>
        <v>0</v>
      </c>
      <c r="D16" s="35">
        <f>'FOUND DATA'!E19</f>
        <v>0</v>
      </c>
    </row>
    <row r="17">
      <c r="A17" s="36">
        <f>'FOUND DATA'!B20</f>
        <v>6</v>
      </c>
      <c r="B17" s="35">
        <f>'FOUND DATA'!C20</f>
        <v>0.15</v>
      </c>
      <c r="C17" s="36">
        <f>'FOUND DATA'!D20</f>
        <v>0</v>
      </c>
      <c r="D17" s="35">
        <f>'FOUND DATA'!E20</f>
        <v>0</v>
      </c>
    </row>
    <row r="18">
      <c r="A18" s="36">
        <f>'FOUND DATA'!B21</f>
        <v>6</v>
      </c>
      <c r="B18" s="35">
        <f>'FOUND DATA'!C21</f>
        <v>0.15</v>
      </c>
      <c r="C18" s="36">
        <f>'FOUND DATA'!D21</f>
        <v>0</v>
      </c>
      <c r="D18" s="35">
        <f>'FOUND DATA'!E21</f>
        <v>0</v>
      </c>
    </row>
    <row r="19">
      <c r="A19" s="36">
        <f>'FOUND DATA'!B22</f>
        <v>0</v>
      </c>
      <c r="B19" s="36">
        <f>'FOUND DATA'!C22</f>
        <v>0</v>
      </c>
      <c r="C19" s="36">
        <f>'FOUND DATA'!D22</f>
        <v>11</v>
      </c>
      <c r="D19" s="36">
        <f>'FOUND DATA'!E22</f>
        <v>0.95</v>
      </c>
    </row>
    <row r="20">
      <c r="A20" s="36">
        <f>'FOUND DATA'!B23</f>
        <v>11</v>
      </c>
      <c r="B20" s="36">
        <f>'FOUND DATA'!C23</f>
        <v>0.25</v>
      </c>
      <c r="C20" s="36">
        <f>'FOUND DATA'!D23</f>
        <v>1</v>
      </c>
      <c r="D20" s="36">
        <f>'FOUND DATA'!E23</f>
        <v>0.2</v>
      </c>
    </row>
    <row r="21">
      <c r="A21" s="36">
        <f>'FOUND DATA'!B24</f>
        <v>0</v>
      </c>
      <c r="B21" s="36">
        <f>'FOUND DATA'!C24</f>
        <v>0</v>
      </c>
      <c r="C21" s="36">
        <f>'FOUND DATA'!D24</f>
        <v>3</v>
      </c>
      <c r="D21" s="36">
        <f>'FOUND DATA'!E24</f>
        <v>0.84</v>
      </c>
    </row>
    <row r="22">
      <c r="A22" s="36">
        <f>'FOUND DATA'!B25</f>
        <v>14</v>
      </c>
      <c r="B22" s="36">
        <f>'FOUND DATA'!C25</f>
        <v>0.1</v>
      </c>
      <c r="C22" s="36">
        <f>'FOUND DATA'!D25</f>
        <v>0</v>
      </c>
      <c r="D22" s="36">
        <f>'FOUND DATA'!E25</f>
        <v>0</v>
      </c>
    </row>
    <row r="23">
      <c r="A23" s="36">
        <f>'FOUND DATA'!B26</f>
        <v>10</v>
      </c>
      <c r="B23" s="36">
        <f>'FOUND DATA'!C26</f>
        <v>0.15</v>
      </c>
      <c r="C23" s="36">
        <f>'FOUND DATA'!D26</f>
        <v>0</v>
      </c>
      <c r="D23" s="36">
        <f>'FOUND DATA'!E26</f>
        <v>0</v>
      </c>
    </row>
    <row r="24">
      <c r="A24" s="36">
        <f>'FOUND DATA'!B27</f>
        <v>10</v>
      </c>
      <c r="B24" s="36">
        <f>'FOUND DATA'!C27</f>
        <v>0.15</v>
      </c>
      <c r="C24" s="36">
        <f>'FOUND DATA'!D27</f>
        <v>0</v>
      </c>
      <c r="D24" s="36">
        <f>'FOUND DATA'!E27</f>
        <v>0</v>
      </c>
    </row>
    <row r="25">
      <c r="A25" s="36">
        <f>'FOUND DATA'!B28</f>
        <v>11</v>
      </c>
      <c r="B25" s="36">
        <f>'FOUND DATA'!C28</f>
        <v>0.15</v>
      </c>
      <c r="C25" s="36">
        <f>'FOUND DATA'!D28</f>
        <v>0</v>
      </c>
      <c r="D25" s="36">
        <f>'FOUND DATA'!E28</f>
        <v>0</v>
      </c>
    </row>
    <row r="26">
      <c r="A26" s="36">
        <f>'FOUND DATA'!B29</f>
        <v>11</v>
      </c>
      <c r="B26" s="36">
        <f>'FOUND DATA'!C29</f>
        <v>0.5</v>
      </c>
      <c r="C26" s="36">
        <f>'FOUND DATA'!D29</f>
        <v>0</v>
      </c>
      <c r="D26" s="36">
        <f>'FOUND DATA'!E29</f>
        <v>0</v>
      </c>
    </row>
    <row r="27">
      <c r="A27" s="36">
        <f>'FOUND DATA'!B30</f>
        <v>14</v>
      </c>
      <c r="B27" s="36">
        <f>'FOUND DATA'!C30</f>
        <v>0.1</v>
      </c>
      <c r="C27" s="36">
        <f>'FOUND DATA'!D30</f>
        <v>2</v>
      </c>
      <c r="D27" s="36">
        <f>'FOUND DATA'!E30</f>
        <v>0.15</v>
      </c>
    </row>
    <row r="28">
      <c r="A28" s="36">
        <f>'FOUND DATA'!B31</f>
        <v>13</v>
      </c>
      <c r="B28" s="35">
        <f>'FOUND DATA'!C31</f>
        <v>0.1</v>
      </c>
      <c r="C28" s="36">
        <f>'FOUND DATA'!D31</f>
        <v>0</v>
      </c>
      <c r="D28" s="35">
        <f>'FOUND DATA'!E31</f>
        <v>0</v>
      </c>
    </row>
    <row r="29">
      <c r="A29" s="36">
        <f>'FOUND DATA'!B32</f>
        <v>0</v>
      </c>
      <c r="B29" s="35">
        <f>'FOUND DATA'!C32</f>
        <v>0</v>
      </c>
      <c r="C29" s="36">
        <f>'FOUND DATA'!D32</f>
        <v>0</v>
      </c>
      <c r="D29" s="35">
        <f>'FOUND DATA'!E32</f>
        <v>0</v>
      </c>
    </row>
    <row r="30">
      <c r="A30" s="36">
        <f>'FOUND DATA'!B33</f>
        <v>12</v>
      </c>
      <c r="B30" s="35">
        <f>'FOUND DATA'!C33</f>
        <v>0.05</v>
      </c>
      <c r="C30" s="36">
        <f>'FOUND DATA'!D33</f>
        <v>0</v>
      </c>
      <c r="D30" s="35">
        <f>'FOUND DATA'!E33</f>
        <v>0</v>
      </c>
    </row>
    <row r="31">
      <c r="A31" s="36">
        <f>'FOUND DATA'!B34</f>
        <v>10</v>
      </c>
      <c r="B31" s="35">
        <f>'FOUND DATA'!C34</f>
        <v>0.19</v>
      </c>
      <c r="C31" s="36">
        <f>'FOUND DATA'!D34</f>
        <v>0</v>
      </c>
      <c r="D31" s="35">
        <f>'FOUND DATA'!E34</f>
        <v>0</v>
      </c>
    </row>
    <row r="32">
      <c r="A32" s="36">
        <f>'FOUND DATA'!B35</f>
        <v>8</v>
      </c>
      <c r="B32" s="35">
        <f>'FOUND DATA'!C35</f>
        <v>0.08</v>
      </c>
      <c r="C32" s="36">
        <f>'FOUND DATA'!D35</f>
        <v>1</v>
      </c>
      <c r="D32" s="35">
        <f>'FOUND DATA'!E35</f>
        <v>0.15</v>
      </c>
    </row>
    <row r="33">
      <c r="A33" s="36">
        <f>'FOUND DATA'!B36</f>
        <v>13</v>
      </c>
      <c r="B33" s="35">
        <f>'FOUND DATA'!C36</f>
        <v>0.27</v>
      </c>
      <c r="C33" s="36">
        <f>'FOUND DATA'!D36</f>
        <v>0</v>
      </c>
      <c r="D33" s="35">
        <f>'FOUND DATA'!E36</f>
        <v>0</v>
      </c>
    </row>
    <row r="34">
      <c r="A34" s="36">
        <f>'FOUND DATA'!B37</f>
        <v>12</v>
      </c>
      <c r="B34" s="35">
        <f>'FOUND DATA'!C37</f>
        <v>0.4</v>
      </c>
      <c r="C34" s="36">
        <f>'FOUND DATA'!D37</f>
        <v>2</v>
      </c>
      <c r="D34" s="35">
        <f>'FOUND DATA'!E37</f>
        <v>0.3</v>
      </c>
    </row>
    <row r="35">
      <c r="A35" s="36">
        <f>'FOUND DATA'!B38</f>
        <v>5</v>
      </c>
      <c r="B35" s="35">
        <f>'FOUND DATA'!C38</f>
        <v>0.5</v>
      </c>
      <c r="C35" s="36">
        <f>'FOUND DATA'!D38</f>
        <v>0</v>
      </c>
      <c r="D35" s="35">
        <f>'FOUND DATA'!E38</f>
        <v>0</v>
      </c>
    </row>
    <row r="36">
      <c r="A36" s="36">
        <f>'FOUND DATA'!B39</f>
        <v>21</v>
      </c>
      <c r="B36" s="35">
        <f>'FOUND DATA'!C39</f>
        <v>0.7</v>
      </c>
      <c r="C36" s="36">
        <f>'FOUND DATA'!D39</f>
        <v>1</v>
      </c>
      <c r="D36" s="35">
        <f>'FOUND DATA'!E39</f>
        <v>0.3</v>
      </c>
    </row>
    <row r="37">
      <c r="A37" s="36">
        <f>'FOUND DATA'!B40</f>
        <v>15</v>
      </c>
      <c r="B37" s="35">
        <f>'FOUND DATA'!C40</f>
        <v>0.15</v>
      </c>
      <c r="C37" s="36">
        <f>'FOUND DATA'!D40</f>
        <v>3</v>
      </c>
      <c r="D37" s="35">
        <f>'FOUND DATA'!E40</f>
        <v>0.3</v>
      </c>
    </row>
    <row r="38">
      <c r="A38" s="36">
        <f>'FOUND DATA'!B41</f>
        <v>15</v>
      </c>
      <c r="B38" s="35">
        <f>'FOUND DATA'!C41</f>
        <v>0.15</v>
      </c>
      <c r="C38" s="36">
        <f>'FOUND DATA'!D41</f>
        <v>3</v>
      </c>
      <c r="D38" s="35">
        <f>'FOUND DATA'!E41</f>
        <v>0.3</v>
      </c>
    </row>
    <row r="39">
      <c r="A39" s="36">
        <f>'FOUND DATA'!B42</f>
        <v>15</v>
      </c>
      <c r="B39" s="35">
        <f>'FOUND DATA'!C42</f>
        <v>0.15</v>
      </c>
      <c r="C39" s="36">
        <f>'FOUND DATA'!D42</f>
        <v>3</v>
      </c>
      <c r="D39" s="35">
        <f>'FOUND DATA'!E42</f>
        <v>0.3</v>
      </c>
    </row>
    <row r="40">
      <c r="A40" s="36">
        <f>'FOUND DATA'!B43</f>
        <v>7</v>
      </c>
      <c r="B40" s="35">
        <f>'FOUND DATA'!C43</f>
        <v>0.5</v>
      </c>
      <c r="C40" s="36">
        <f>'FOUND DATA'!D43</f>
        <v>0</v>
      </c>
      <c r="D40" s="35">
        <f>'FOUND DATA'!E43</f>
        <v>0</v>
      </c>
    </row>
    <row r="41">
      <c r="A41" s="36">
        <f>'FOUND DATA'!B44</f>
        <v>7</v>
      </c>
      <c r="B41" s="35">
        <f>'FOUND DATA'!C44</f>
        <v>0.55</v>
      </c>
      <c r="C41" s="36">
        <f>'FOUND DATA'!D44</f>
        <v>0</v>
      </c>
      <c r="D41" s="35">
        <f>'FOUND DATA'!E44</f>
        <v>0</v>
      </c>
    </row>
    <row r="42">
      <c r="A42" s="36">
        <f>'FOUND DATA'!B45</f>
        <v>11</v>
      </c>
      <c r="B42" s="35">
        <f>'FOUND DATA'!C45</f>
        <v>0.22</v>
      </c>
      <c r="C42" s="36">
        <f>'FOUND DATA'!D45</f>
        <v>0</v>
      </c>
      <c r="D42" s="35">
        <f>'FOUND DATA'!E45</f>
        <v>0</v>
      </c>
    </row>
    <row r="43">
      <c r="A43" s="36">
        <f>'FOUND DATA'!B46</f>
        <v>0</v>
      </c>
      <c r="B43" s="35">
        <f>'FOUND DATA'!C46</f>
        <v>0</v>
      </c>
      <c r="C43" s="36">
        <f>'FOUND DATA'!D46</f>
        <v>4</v>
      </c>
      <c r="D43" s="35">
        <f>'FOUND DATA'!E46</f>
        <v>0.6</v>
      </c>
    </row>
    <row r="44">
      <c r="A44" s="36">
        <f>'FOUND DATA'!B47</f>
        <v>11</v>
      </c>
      <c r="B44" s="35">
        <f>'FOUND DATA'!C47</f>
        <v>0.6</v>
      </c>
      <c r="C44" s="36">
        <f>'FOUND DATA'!D47</f>
        <v>1</v>
      </c>
      <c r="D44" s="35">
        <f>'FOUND DATA'!E47</f>
        <v>0.4</v>
      </c>
    </row>
    <row r="45">
      <c r="A45" s="36">
        <f>'FOUND DATA'!B48</f>
        <v>15</v>
      </c>
      <c r="B45" s="35">
        <f>'FOUND DATA'!C48</f>
        <v>0.05</v>
      </c>
      <c r="C45" s="36">
        <f>'FOUND DATA'!D48</f>
        <v>1</v>
      </c>
      <c r="D45" s="35">
        <f>'FOUND DATA'!E48</f>
        <v>0.35</v>
      </c>
    </row>
    <row r="46">
      <c r="A46" s="36">
        <f>'FOUND DATA'!B49</f>
        <v>13</v>
      </c>
      <c r="B46" s="35">
        <f>'FOUND DATA'!C49</f>
        <v>0.25</v>
      </c>
      <c r="C46" s="36">
        <f>'FOUND DATA'!D49</f>
        <v>0</v>
      </c>
      <c r="D46" s="35">
        <f>'FOUND DATA'!E49</f>
        <v>0</v>
      </c>
    </row>
    <row r="47">
      <c r="A47" s="36">
        <f>'FOUND DATA'!B50</f>
        <v>14</v>
      </c>
      <c r="B47" s="35">
        <f>'FOUND DATA'!C50</f>
        <v>0.15</v>
      </c>
      <c r="C47" s="36">
        <f>'FOUND DATA'!D50</f>
        <v>0</v>
      </c>
      <c r="D47" s="35">
        <f>'FOUND DATA'!E50</f>
        <v>0</v>
      </c>
    </row>
    <row r="48">
      <c r="A48" s="36">
        <f>'FOUND DATA'!B51</f>
        <v>6</v>
      </c>
      <c r="B48" s="35">
        <f>'FOUND DATA'!C51</f>
        <v>0.15</v>
      </c>
      <c r="C48" s="36">
        <f>'FOUND DATA'!D51</f>
        <v>5</v>
      </c>
      <c r="D48" s="35">
        <f>'FOUND DATA'!E51</f>
        <v>0.3</v>
      </c>
    </row>
    <row r="49">
      <c r="A49" s="36">
        <f>'FOUND DATA'!B52</f>
        <v>17</v>
      </c>
      <c r="B49" s="35">
        <f>'FOUND DATA'!C52</f>
        <v>0.15</v>
      </c>
      <c r="C49" s="36">
        <f>'FOUND DATA'!D52</f>
        <v>0</v>
      </c>
      <c r="D49" s="35">
        <f>'FOUND DATA'!E52</f>
        <v>0</v>
      </c>
    </row>
    <row r="50">
      <c r="A50" s="36">
        <f>'FOUND DATA'!B53</f>
        <v>8</v>
      </c>
      <c r="B50" s="35">
        <f>'FOUND DATA'!C53</f>
        <v>0.3</v>
      </c>
      <c r="C50" s="36">
        <f>'FOUND DATA'!D53</f>
        <v>0</v>
      </c>
      <c r="D50" s="35">
        <f>'FOUND DATA'!E53</f>
        <v>0</v>
      </c>
    </row>
    <row r="51">
      <c r="A51" s="36">
        <f>'FOUND DATA'!B54</f>
        <v>7</v>
      </c>
      <c r="B51" s="35">
        <f>'FOUND DATA'!C54</f>
        <v>0.1</v>
      </c>
      <c r="C51" s="36">
        <f>'FOUND DATA'!D54</f>
        <v>0</v>
      </c>
      <c r="D51" s="35">
        <f>'FOUND DATA'!E54</f>
        <v>0</v>
      </c>
    </row>
    <row r="52">
      <c r="A52" s="36">
        <f>'FOUND DATA'!B55</f>
        <v>12</v>
      </c>
      <c r="B52" s="35">
        <f>'FOUND DATA'!C55</f>
        <v>0.65</v>
      </c>
      <c r="C52" s="36">
        <f>'FOUND DATA'!D55</f>
        <v>3</v>
      </c>
      <c r="D52" s="35">
        <f>'FOUND DATA'!E55</f>
        <v>0.15</v>
      </c>
    </row>
    <row r="53">
      <c r="A53" s="36">
        <f>'FOUND DATA'!B56</f>
        <v>7</v>
      </c>
      <c r="B53" s="35">
        <f>'FOUND DATA'!C56</f>
        <v>0.15</v>
      </c>
      <c r="C53" s="36">
        <f>'FOUND DATA'!D56</f>
        <v>0</v>
      </c>
      <c r="D53" s="35">
        <f>'FOUND DATA'!E56</f>
        <v>0</v>
      </c>
    </row>
    <row r="54">
      <c r="A54" s="36">
        <f>'FOUND DATA'!B57</f>
        <v>12</v>
      </c>
      <c r="B54" s="35">
        <f>'FOUND DATA'!C57</f>
        <v>0.15</v>
      </c>
      <c r="C54" s="36">
        <f>'FOUND DATA'!D57</f>
        <v>0</v>
      </c>
      <c r="D54" s="35">
        <f>'FOUND DATA'!E57</f>
        <v>0</v>
      </c>
    </row>
    <row r="55">
      <c r="A55" s="36">
        <f>'FOUND DATA'!B58</f>
        <v>12</v>
      </c>
      <c r="B55" s="35">
        <f>'FOUND DATA'!C58</f>
        <v>0.2</v>
      </c>
      <c r="C55" s="36">
        <f>'FOUND DATA'!D58</f>
        <v>0</v>
      </c>
      <c r="D55" s="35">
        <f>'FOUND DATA'!E58</f>
        <v>0</v>
      </c>
    </row>
    <row r="56">
      <c r="A56" s="36">
        <f>'FOUND DATA'!B59</f>
        <v>9</v>
      </c>
      <c r="B56" s="35">
        <f>'FOUND DATA'!C59</f>
        <v>0.1</v>
      </c>
      <c r="C56" s="36">
        <f>'FOUND DATA'!D59</f>
        <v>0</v>
      </c>
      <c r="D56" s="35">
        <f>'FOUND DATA'!E59</f>
        <v>0</v>
      </c>
    </row>
    <row r="57">
      <c r="A57" s="36">
        <f>'FOUND DATA'!B60</f>
        <v>9</v>
      </c>
      <c r="B57" s="35">
        <f>'FOUND DATA'!C60</f>
        <v>0.1</v>
      </c>
      <c r="C57" s="36">
        <f>'FOUND DATA'!D60</f>
        <v>0</v>
      </c>
      <c r="D57" s="35">
        <f>'FOUND DATA'!E60</f>
        <v>0</v>
      </c>
    </row>
    <row r="58">
      <c r="A58" s="36">
        <f>'FOUND DATA'!B61</f>
        <v>7</v>
      </c>
      <c r="B58" s="35">
        <f>'FOUND DATA'!C61</f>
        <v>0.1</v>
      </c>
      <c r="C58" s="36">
        <f>'FOUND DATA'!D61</f>
        <v>0</v>
      </c>
      <c r="D58" s="35">
        <f>'FOUND DATA'!E61</f>
        <v>0</v>
      </c>
    </row>
    <row r="59">
      <c r="A59" s="36">
        <f>'FOUND DATA'!B62</f>
        <v>10</v>
      </c>
      <c r="B59" s="35">
        <f>'FOUND DATA'!C62</f>
        <v>0.2</v>
      </c>
      <c r="C59" s="36">
        <f>'FOUND DATA'!D62</f>
        <v>1</v>
      </c>
      <c r="D59" s="35">
        <f>'FOUND DATA'!E62</f>
        <v>0.1</v>
      </c>
    </row>
    <row r="60">
      <c r="A60" s="36">
        <f>'FOUND DATA'!B63</f>
        <v>10</v>
      </c>
      <c r="B60" s="35">
        <f>'FOUND DATA'!C63</f>
        <v>0.2</v>
      </c>
      <c r="C60" s="36">
        <f>'FOUND DATA'!D63</f>
        <v>1</v>
      </c>
      <c r="D60" s="35">
        <f>'FOUND DATA'!E63</f>
        <v>0.1</v>
      </c>
    </row>
    <row r="61">
      <c r="A61" s="36">
        <f>'FOUND DATA'!B64</f>
        <v>9</v>
      </c>
      <c r="B61" s="35">
        <f>'FOUND DATA'!C64</f>
        <v>0.075</v>
      </c>
      <c r="C61" s="36">
        <f>'FOUND DATA'!D64</f>
        <v>1</v>
      </c>
      <c r="D61" s="35">
        <f>'FOUND DATA'!E64</f>
        <v>0.4</v>
      </c>
    </row>
    <row r="62">
      <c r="A62" s="36">
        <f>'FOUND DATA'!B65</f>
        <v>13</v>
      </c>
      <c r="B62" s="35">
        <f>'FOUND DATA'!C65</f>
        <v>0.2</v>
      </c>
      <c r="C62" s="36">
        <f>'FOUND DATA'!D65</f>
        <v>0</v>
      </c>
      <c r="D62" s="35">
        <f>'FOUND DATA'!E65</f>
        <v>0</v>
      </c>
    </row>
    <row r="63">
      <c r="A63" s="36">
        <f>'FOUND DATA'!B66</f>
        <v>0</v>
      </c>
      <c r="B63" s="35">
        <f>'FOUND DATA'!C66</f>
        <v>0</v>
      </c>
      <c r="C63" s="36">
        <f>'FOUND DATA'!D66</f>
        <v>0</v>
      </c>
      <c r="D63" s="35">
        <f>'FOUND DATA'!E66</f>
        <v>0</v>
      </c>
    </row>
    <row r="64">
      <c r="A64" s="36">
        <f>'FOUND DATA'!B67</f>
        <v>0</v>
      </c>
      <c r="B64" s="35">
        <f>'FOUND DATA'!C67</f>
        <v>0</v>
      </c>
      <c r="C64" s="36">
        <f>'FOUND DATA'!D67</f>
        <v>0</v>
      </c>
      <c r="D64" s="35">
        <f>'FOUND DATA'!E67</f>
        <v>0</v>
      </c>
    </row>
    <row r="65">
      <c r="A65" s="36">
        <f>'FOUND DATA'!B68</f>
        <v>11</v>
      </c>
      <c r="B65" s="35">
        <f>'FOUND DATA'!C68</f>
        <v>0.1</v>
      </c>
      <c r="C65" s="36">
        <f>'FOUND DATA'!D68</f>
        <v>0</v>
      </c>
      <c r="D65" s="35">
        <f>'FOUND DATA'!E68</f>
        <v>0</v>
      </c>
    </row>
    <row r="66">
      <c r="A66" s="36">
        <f>'FOUND DATA'!B69</f>
        <v>10</v>
      </c>
      <c r="B66" s="35">
        <f>'FOUND DATA'!C69</f>
        <v>0.15</v>
      </c>
      <c r="C66" s="36">
        <f>'FOUND DATA'!D69</f>
        <v>0</v>
      </c>
      <c r="D66" s="35">
        <f>'FOUND DATA'!E69</f>
        <v>0</v>
      </c>
    </row>
    <row r="67">
      <c r="A67" s="36">
        <f>'FOUND DATA'!B70</f>
        <v>12</v>
      </c>
      <c r="B67" s="35">
        <f>'FOUND DATA'!C70</f>
        <v>0.15</v>
      </c>
      <c r="C67" s="36">
        <f>'FOUND DATA'!D70</f>
        <v>0</v>
      </c>
      <c r="D67" s="35">
        <f>'FOUND DATA'!E70</f>
        <v>0</v>
      </c>
    </row>
    <row r="68">
      <c r="A68" s="36">
        <f>'FOUND DATA'!B71</f>
        <v>0</v>
      </c>
      <c r="B68" s="35">
        <f>'FOUND DATA'!C71</f>
        <v>0</v>
      </c>
      <c r="C68" s="36">
        <f>'FOUND DATA'!D71</f>
        <v>0</v>
      </c>
      <c r="D68" s="35">
        <f>'FOUND DATA'!E71</f>
        <v>0</v>
      </c>
    </row>
    <row r="69">
      <c r="A69" s="36">
        <f>'FOUND DATA'!B72</f>
        <v>12</v>
      </c>
      <c r="B69" s="35">
        <f>'FOUND DATA'!C72</f>
        <v>0.1</v>
      </c>
      <c r="C69" s="36">
        <f>'FOUND DATA'!D72</f>
        <v>3</v>
      </c>
      <c r="D69" s="35">
        <f>'FOUND DATA'!E72</f>
        <v>0.15</v>
      </c>
    </row>
    <row r="70">
      <c r="A70" s="36">
        <f>'FOUND DATA'!B73</f>
        <v>12</v>
      </c>
      <c r="B70" s="35">
        <f>'FOUND DATA'!C73</f>
        <v>0.2</v>
      </c>
      <c r="C70" s="36">
        <f>'FOUND DATA'!D73</f>
        <v>0</v>
      </c>
      <c r="D70" s="35">
        <f>'FOUND DATA'!E73</f>
        <v>0</v>
      </c>
    </row>
    <row r="71">
      <c r="A71" s="36">
        <f>'FOUND DATA'!B74</f>
        <v>0</v>
      </c>
      <c r="B71" s="35">
        <f>'FOUND DATA'!C74</f>
        <v>0</v>
      </c>
      <c r="C71" s="36">
        <f>'FOUND DATA'!D74</f>
        <v>0</v>
      </c>
      <c r="D71" s="35">
        <f>'FOUND DATA'!E74</f>
        <v>0</v>
      </c>
    </row>
    <row r="72">
      <c r="A72" s="36">
        <f>'FOUND DATA'!B75</f>
        <v>11</v>
      </c>
      <c r="B72" s="35">
        <f>'FOUND DATA'!C75</f>
        <v>0.1</v>
      </c>
      <c r="C72" s="36">
        <f>'FOUND DATA'!D75</f>
        <v>0</v>
      </c>
      <c r="D72" s="35">
        <f>'FOUND DATA'!E75</f>
        <v>0</v>
      </c>
    </row>
    <row r="73">
      <c r="A73" s="36">
        <f>'FOUND DATA'!B76</f>
        <v>21</v>
      </c>
      <c r="B73" s="35">
        <f>'FOUND DATA'!C76</f>
        <v>0.4</v>
      </c>
      <c r="C73" s="36">
        <f>'FOUND DATA'!D76</f>
        <v>0</v>
      </c>
      <c r="D73" s="35">
        <f>'FOUND DATA'!E76</f>
        <v>0</v>
      </c>
    </row>
    <row r="74">
      <c r="A74" s="36">
        <f>'FOUND DATA'!B77</f>
        <v>9</v>
      </c>
      <c r="B74" s="35">
        <f>'FOUND DATA'!C77</f>
        <v>0.1</v>
      </c>
      <c r="C74" s="36">
        <f>'FOUND DATA'!D77</f>
        <v>0</v>
      </c>
      <c r="D74" s="35">
        <f>'FOUND DATA'!E77</f>
        <v>0</v>
      </c>
    </row>
    <row r="75">
      <c r="A75" s="36">
        <f>'FOUND DATA'!B78</f>
        <v>12</v>
      </c>
      <c r="B75" s="35">
        <f>'FOUND DATA'!C78</f>
        <v>0.1</v>
      </c>
      <c r="C75" s="36">
        <f>'FOUND DATA'!D78</f>
        <v>3</v>
      </c>
      <c r="D75" s="35">
        <f>'FOUND DATA'!E78</f>
        <v>0.15</v>
      </c>
    </row>
    <row r="76">
      <c r="A76" s="36">
        <f>'FOUND DATA'!B79</f>
        <v>21</v>
      </c>
      <c r="B76" s="35">
        <f>'FOUND DATA'!C79</f>
        <v>0.4</v>
      </c>
      <c r="C76" s="36">
        <f>'FOUND DATA'!D79</f>
        <v>0</v>
      </c>
      <c r="D76" s="35">
        <f>'FOUND DATA'!E79</f>
        <v>0</v>
      </c>
    </row>
    <row r="77">
      <c r="A77" s="36">
        <f>'FOUND DATA'!B80</f>
        <v>12</v>
      </c>
      <c r="B77" s="35">
        <f>'FOUND DATA'!C80</f>
        <v>0.15</v>
      </c>
      <c r="C77" s="36">
        <f>'FOUND DATA'!D80</f>
        <v>0</v>
      </c>
      <c r="D77" s="35">
        <f>'FOUND DATA'!E80</f>
        <v>0</v>
      </c>
    </row>
    <row r="78">
      <c r="A78" s="36">
        <f>'FOUND DATA'!B81</f>
        <v>10</v>
      </c>
      <c r="B78" s="35">
        <f>'FOUND DATA'!C81</f>
        <v>0.15</v>
      </c>
      <c r="C78" s="36">
        <f>'FOUND DATA'!D81</f>
        <v>0</v>
      </c>
      <c r="D78" s="35">
        <f>'FOUND DATA'!E81</f>
        <v>0</v>
      </c>
    </row>
    <row r="79">
      <c r="A79" s="36">
        <f>'FOUND DATA'!B82</f>
        <v>10</v>
      </c>
      <c r="B79" s="35">
        <f>'FOUND DATA'!C82</f>
        <v>0.1</v>
      </c>
      <c r="C79" s="36">
        <f>'FOUND DATA'!D82</f>
        <v>0</v>
      </c>
      <c r="D79" s="35">
        <f>'FOUND DATA'!E82</f>
        <v>0</v>
      </c>
    </row>
    <row r="80">
      <c r="A80" s="36">
        <f>'FOUND DATA'!B83</f>
        <v>38</v>
      </c>
      <c r="B80" s="35">
        <f>'FOUND DATA'!C83</f>
        <v>0.49</v>
      </c>
      <c r="C80" s="36">
        <f>'FOUND DATA'!D83</f>
        <v>2</v>
      </c>
      <c r="D80" s="35">
        <f>'FOUND DATA'!E83</f>
        <v>0.51</v>
      </c>
    </row>
    <row r="81">
      <c r="A81" s="36">
        <f>'FOUND DATA'!B84</f>
        <v>6</v>
      </c>
      <c r="B81" s="35">
        <f>'FOUND DATA'!C84</f>
        <v>0.15</v>
      </c>
      <c r="C81" s="36">
        <f>'FOUND DATA'!D84</f>
        <v>2</v>
      </c>
      <c r="D81" s="35">
        <f>'FOUND DATA'!E84</f>
        <v>0.25</v>
      </c>
    </row>
    <row r="82">
      <c r="A82" s="36">
        <f>'FOUND DATA'!B85</f>
        <v>5</v>
      </c>
      <c r="B82" s="35">
        <f>'FOUND DATA'!C85</f>
        <v>0.3</v>
      </c>
      <c r="C82" s="36">
        <f>'FOUND DATA'!D85</f>
        <v>4</v>
      </c>
      <c r="D82" s="35">
        <f>'FOUND DATA'!E85</f>
        <v>0.45</v>
      </c>
    </row>
    <row r="83">
      <c r="A83" s="36">
        <f>'FOUND DATA'!B86</f>
        <v>0</v>
      </c>
      <c r="B83" s="35">
        <f>'FOUND DATA'!C86</f>
        <v>0</v>
      </c>
      <c r="C83" s="36">
        <f>'FOUND DATA'!D86</f>
        <v>3</v>
      </c>
      <c r="D83" s="35">
        <f>'FOUND DATA'!E86</f>
        <v>1</v>
      </c>
    </row>
    <row r="84">
      <c r="A84" s="36">
        <f>'FOUND DATA'!B87</f>
        <v>12</v>
      </c>
      <c r="B84" s="35">
        <f>'FOUND DATA'!C87</f>
        <v>0.2</v>
      </c>
      <c r="C84" s="36">
        <f>'FOUND DATA'!D87</f>
        <v>1</v>
      </c>
      <c r="D84" s="35">
        <f>'FOUND DATA'!E87</f>
        <v>0.35</v>
      </c>
    </row>
    <row r="85">
      <c r="A85" s="36">
        <f>'FOUND DATA'!B88</f>
        <v>4</v>
      </c>
      <c r="B85" s="35">
        <f>'FOUND DATA'!C88</f>
        <v>0.4</v>
      </c>
      <c r="C85" s="36">
        <f>'FOUND DATA'!D88</f>
        <v>1</v>
      </c>
      <c r="D85" s="35">
        <f>'FOUND DATA'!E88</f>
        <v>0.2</v>
      </c>
    </row>
    <row r="86">
      <c r="A86" s="36">
        <f>'FOUND DATA'!B89</f>
        <v>12</v>
      </c>
      <c r="B86" s="35">
        <f>'FOUND DATA'!C89</f>
        <v>0.2</v>
      </c>
      <c r="C86" s="36">
        <f>'FOUND DATA'!D89</f>
        <v>1</v>
      </c>
      <c r="D86" s="35">
        <f>'FOUND DATA'!E89</f>
        <v>0.3</v>
      </c>
    </row>
    <row r="87">
      <c r="A87" s="36">
        <f>'FOUND DATA'!B90</f>
        <v>12</v>
      </c>
      <c r="B87" s="35">
        <f>'FOUND DATA'!C90</f>
        <v>0.15</v>
      </c>
      <c r="C87" s="36">
        <f>'FOUND DATA'!D90</f>
        <v>0</v>
      </c>
      <c r="D87" s="35">
        <f>'FOUND DATA'!E90</f>
        <v>0</v>
      </c>
    </row>
    <row r="88">
      <c r="A88" s="36">
        <f>'FOUND DATA'!B91</f>
        <v>14</v>
      </c>
      <c r="B88" s="35">
        <f>'FOUND DATA'!C91</f>
        <v>0.2</v>
      </c>
      <c r="C88" s="36">
        <f>'FOUND DATA'!D91</f>
        <v>1</v>
      </c>
      <c r="D88" s="35">
        <f>'FOUND DATA'!E91</f>
        <v>0.1</v>
      </c>
    </row>
    <row r="89">
      <c r="A89" s="36">
        <f>'FOUND DATA'!B92</f>
        <v>5</v>
      </c>
      <c r="B89" s="35">
        <f>'FOUND DATA'!C92</f>
        <v>0.5</v>
      </c>
      <c r="C89" s="36">
        <f>'FOUND DATA'!D92</f>
        <v>4</v>
      </c>
      <c r="D89" s="35">
        <f>'FOUND DATA'!E92</f>
        <v>0.4</v>
      </c>
    </row>
    <row r="90">
      <c r="A90" s="36">
        <f>'FOUND DATA'!B93</f>
        <v>0</v>
      </c>
      <c r="B90" s="35">
        <f>'FOUND DATA'!C93</f>
        <v>0</v>
      </c>
      <c r="C90" s="36">
        <f>'FOUND DATA'!D93</f>
        <v>1</v>
      </c>
      <c r="D90" s="35">
        <f>'FOUND DATA'!E93</f>
        <v>0.5</v>
      </c>
    </row>
    <row r="91">
      <c r="A91" s="36">
        <f>'FOUND DATA'!B94</f>
        <v>13</v>
      </c>
      <c r="B91" s="35">
        <f>'FOUND DATA'!C94</f>
        <v>0.2</v>
      </c>
      <c r="C91" s="36">
        <f>'FOUND DATA'!D94</f>
        <v>3</v>
      </c>
      <c r="D91" s="35">
        <f>'FOUND DATA'!E94</f>
        <v>0.55</v>
      </c>
    </row>
    <row r="92">
      <c r="A92" s="36">
        <f>'FOUND DATA'!B95</f>
        <v>8</v>
      </c>
      <c r="B92" s="35">
        <f>'FOUND DATA'!C95</f>
        <v>0.14</v>
      </c>
      <c r="C92" s="36">
        <f>'FOUND DATA'!D95</f>
        <v>0</v>
      </c>
      <c r="D92" s="35">
        <f>'FOUND DATA'!E95</f>
        <v>0</v>
      </c>
    </row>
    <row r="93">
      <c r="A93" s="36">
        <f>'FOUND DATA'!B96</f>
        <v>12</v>
      </c>
      <c r="B93" s="35">
        <f>'FOUND DATA'!C96</f>
        <v>0.05</v>
      </c>
      <c r="C93" s="36">
        <f>'FOUND DATA'!D96</f>
        <v>0</v>
      </c>
      <c r="D93" s="35">
        <f>'FOUND DATA'!E96</f>
        <v>0</v>
      </c>
    </row>
    <row r="94">
      <c r="A94" s="36">
        <f>'FOUND DATA'!B97</f>
        <v>9</v>
      </c>
      <c r="B94" s="35">
        <f>'FOUND DATA'!C97</f>
        <v>0.27</v>
      </c>
      <c r="C94" s="36">
        <f>'FOUND DATA'!D97</f>
        <v>5</v>
      </c>
      <c r="D94" s="35">
        <f>'FOUND DATA'!E97</f>
        <v>0.49</v>
      </c>
    </row>
    <row r="95">
      <c r="A95" s="36">
        <f>'FOUND DATA'!B98</f>
        <v>11</v>
      </c>
      <c r="B95" s="35">
        <f>'FOUND DATA'!C98</f>
        <v>0.2</v>
      </c>
      <c r="C95" s="36">
        <f>'FOUND DATA'!D98</f>
        <v>0</v>
      </c>
      <c r="D95" s="35">
        <f>'FOUND DATA'!E98</f>
        <v>0</v>
      </c>
    </row>
    <row r="96">
      <c r="A96" s="36">
        <f>'FOUND DATA'!B99</f>
        <v>12</v>
      </c>
      <c r="B96" s="35">
        <f>'FOUND DATA'!C99</f>
        <v>0.15</v>
      </c>
      <c r="C96" s="36">
        <f>'FOUND DATA'!D99</f>
        <v>3</v>
      </c>
      <c r="D96" s="35">
        <f>'FOUND DATA'!E99</f>
        <v>0.15</v>
      </c>
    </row>
    <row r="97">
      <c r="A97" s="36">
        <f>'FOUND DATA'!B100</f>
        <v>13</v>
      </c>
      <c r="B97" s="35">
        <f>'FOUND DATA'!C100</f>
        <v>0.2</v>
      </c>
      <c r="C97" s="36">
        <f>'FOUND DATA'!D100</f>
        <v>5</v>
      </c>
      <c r="D97" s="35">
        <f>'FOUND DATA'!E100</f>
        <v>0.5</v>
      </c>
    </row>
    <row r="98">
      <c r="A98" s="36">
        <f>'FOUND DATA'!B101</f>
        <v>14</v>
      </c>
      <c r="B98" s="35">
        <f>'FOUND DATA'!C101</f>
        <v>0.15</v>
      </c>
      <c r="C98" s="36">
        <f>'FOUND DATA'!D101</f>
        <v>0</v>
      </c>
      <c r="D98" s="35">
        <f>'FOUND DATA'!E101</f>
        <v>0</v>
      </c>
    </row>
    <row r="99">
      <c r="A99" s="36">
        <f>'FOUND DATA'!B102</f>
        <v>12</v>
      </c>
      <c r="B99" s="35">
        <f>'FOUND DATA'!C102</f>
        <v>0.2</v>
      </c>
      <c r="C99" s="36">
        <f>'FOUND DATA'!D102</f>
        <v>0</v>
      </c>
      <c r="D99" s="35">
        <f>'FOUND DATA'!E102</f>
        <v>0</v>
      </c>
    </row>
    <row r="100">
      <c r="A100" s="36">
        <f>'FOUND DATA'!B103</f>
        <v>12</v>
      </c>
      <c r="B100" s="35">
        <f>'FOUND DATA'!C103</f>
        <v>0.2</v>
      </c>
      <c r="C100" s="36">
        <f>'FOUND DATA'!D103</f>
        <v>0</v>
      </c>
      <c r="D100" s="35">
        <f>'FOUND DATA'!E103</f>
        <v>0</v>
      </c>
    </row>
    <row r="101">
      <c r="A101" s="36">
        <f>'FOUND DATA'!B104</f>
        <v>13</v>
      </c>
      <c r="B101" s="35">
        <f>'FOUND DATA'!C104</f>
        <v>0.1</v>
      </c>
      <c r="C101" s="36">
        <f>'FOUND DATA'!D104</f>
        <v>0</v>
      </c>
      <c r="D101" s="35">
        <f>'FOUND DATA'!E104</f>
        <v>0</v>
      </c>
    </row>
    <row r="102">
      <c r="A102" s="36">
        <f>'FOUND DATA'!B105</f>
        <v>9</v>
      </c>
      <c r="B102" s="35">
        <f>'FOUND DATA'!C105</f>
        <v>0.3</v>
      </c>
      <c r="C102" s="36">
        <f>'FOUND DATA'!D105</f>
        <v>1</v>
      </c>
      <c r="D102" s="35">
        <f>'FOUND DATA'!E105</f>
        <v>0.15</v>
      </c>
    </row>
    <row r="103">
      <c r="A103" s="36">
        <f>'FOUND DATA'!B106</f>
        <v>9</v>
      </c>
      <c r="B103" s="35">
        <f>'FOUND DATA'!C106</f>
        <v>0.3</v>
      </c>
      <c r="C103" s="36">
        <f>'FOUND DATA'!D106</f>
        <v>1</v>
      </c>
      <c r="D103" s="35">
        <f>'FOUND DATA'!E106</f>
        <v>0.15</v>
      </c>
    </row>
    <row r="104">
      <c r="A104" s="36">
        <f>'FOUND DATA'!B107</f>
        <v>9</v>
      </c>
      <c r="B104" s="35">
        <f>'FOUND DATA'!C107</f>
        <v>0.3</v>
      </c>
      <c r="C104" s="36">
        <f>'FOUND DATA'!D107</f>
        <v>1</v>
      </c>
      <c r="D104" s="35">
        <f>'FOUND DATA'!E107</f>
        <v>0.15</v>
      </c>
    </row>
    <row r="105">
      <c r="A105" s="36" t="str">
        <f>'FOUND DATA'!B108</f>
        <v>END</v>
      </c>
      <c r="B105" s="35" t="str">
        <f>'FOUND DATA'!C108</f>
        <v>END</v>
      </c>
      <c r="C105" s="35" t="str">
        <f>'FOUND DATA'!D108</f>
        <v>END</v>
      </c>
      <c r="D105" s="35" t="str">
        <f>'FOUND DATA'!E108</f>
        <v>END</v>
      </c>
    </row>
    <row r="124">
      <c r="A124" s="36" t="str">
        <f>'FOUND DATA'!B126</f>
        <v/>
      </c>
      <c r="B124" s="35" t="str">
        <f>'FOUND DATA'!C126</f>
        <v/>
      </c>
    </row>
    <row r="125">
      <c r="A125" s="36" t="str">
        <f>'FOUND DATA'!B127</f>
        <v/>
      </c>
      <c r="B125" s="35" t="str">
        <f>'FOUND DATA'!C127</f>
        <v/>
      </c>
    </row>
    <row r="126">
      <c r="A126" s="36" t="str">
        <f>'FOUND DATA'!B128</f>
        <v/>
      </c>
      <c r="B126" s="35" t="str">
        <f>'FOUND DATA'!C128</f>
        <v/>
      </c>
    </row>
    <row r="127">
      <c r="A127" s="36" t="str">
        <f>'FOUND DATA'!B129</f>
        <v/>
      </c>
      <c r="B127" s="35" t="str">
        <f>'FOUND DATA'!C129</f>
        <v/>
      </c>
    </row>
    <row r="128">
      <c r="A128" s="36" t="str">
        <f>'FOUND DATA'!B130</f>
        <v/>
      </c>
      <c r="B128" s="35" t="str">
        <f>'FOUND DATA'!C130</f>
        <v/>
      </c>
    </row>
    <row r="129">
      <c r="A129" s="36" t="str">
        <f>'FOUND DATA'!B111</f>
        <v/>
      </c>
      <c r="B129" s="35" t="str">
        <f>'FOUND DATA'!C111</f>
        <v/>
      </c>
    </row>
    <row r="130">
      <c r="A130" s="36" t="str">
        <f>'FOUND DATA'!B112</f>
        <v/>
      </c>
      <c r="B130" s="35" t="str">
        <f>'FOUND DATA'!C112</f>
        <v/>
      </c>
    </row>
    <row r="131">
      <c r="A131" s="36" t="str">
        <f>'FOUND DATA'!B113</f>
        <v/>
      </c>
      <c r="B131" s="35" t="str">
        <f>'FOUND DATA'!C113</f>
        <v/>
      </c>
    </row>
    <row r="132">
      <c r="A132" s="36" t="str">
        <f>'FOUND DATA'!B114</f>
        <v/>
      </c>
      <c r="B132" s="35" t="str">
        <f>'FOUND DATA'!C114</f>
        <v/>
      </c>
    </row>
    <row r="146">
      <c r="A146" s="36" t="str">
        <f>'FOUND DATA'!B124</f>
        <v/>
      </c>
      <c r="B146" s="35" t="str">
        <f>'FOUND DATA'!C124</f>
        <v/>
      </c>
    </row>
    <row r="147">
      <c r="A147" s="36" t="str">
        <f>'FOUND DATA'!B125</f>
        <v/>
      </c>
      <c r="B147" s="35" t="str">
        <f>'FOUND DATA'!C125</f>
        <v/>
      </c>
    </row>
    <row r="148">
      <c r="A148" s="36" t="str">
        <f>'FOUND DATA'!B126</f>
        <v/>
      </c>
      <c r="B148" s="35" t="str">
        <f>'FOUND DATA'!C126</f>
        <v/>
      </c>
    </row>
    <row r="149">
      <c r="A149" s="36" t="str">
        <f>'FOUND DATA'!B127</f>
        <v/>
      </c>
      <c r="B149" s="35" t="str">
        <f>'FOUND DATA'!C127</f>
        <v/>
      </c>
    </row>
    <row r="150">
      <c r="A150" s="36" t="str">
        <f>'FOUND DATA'!B128</f>
        <v/>
      </c>
      <c r="B150" s="35" t="str">
        <f>'FOUND DATA'!C128</f>
        <v/>
      </c>
    </row>
    <row r="151">
      <c r="A151" s="36" t="str">
        <f>'FOUND DATA'!B129</f>
        <v/>
      </c>
      <c r="B151" s="35" t="str">
        <f>'FOUND DATA'!C129</f>
        <v/>
      </c>
    </row>
    <row r="152">
      <c r="A152" s="36" t="str">
        <f>'FOUND DATA'!B130</f>
        <v/>
      </c>
      <c r="B152" s="35" t="str">
        <f>'FOUND DATA'!C130</f>
        <v/>
      </c>
    </row>
    <row r="153">
      <c r="A153" s="36" t="str">
        <f>'FOUND DATA'!B131</f>
        <v/>
      </c>
      <c r="B153" s="35" t="str">
        <f>'FOUND DATA'!C131</f>
        <v/>
      </c>
    </row>
    <row r="154">
      <c r="A154" s="36" t="str">
        <f>'FOUND DATA'!B132</f>
        <v/>
      </c>
      <c r="B154" s="35" t="str">
        <f>'FOUND DATA'!C132</f>
        <v/>
      </c>
    </row>
    <row r="155">
      <c r="A155" s="36" t="str">
        <f>'FOUND DATA'!B133</f>
        <v/>
      </c>
      <c r="B155" s="35" t="str">
        <f>'FOUND DATA'!C133</f>
        <v/>
      </c>
    </row>
    <row r="156">
      <c r="A156" s="36" t="str">
        <f>'FOUND DATA'!B134</f>
        <v/>
      </c>
      <c r="B156" s="35" t="str">
        <f>'FOUND DATA'!C134</f>
        <v/>
      </c>
    </row>
    <row r="157">
      <c r="A157" s="36" t="str">
        <f>'FOUND DATA'!B135</f>
        <v/>
      </c>
      <c r="B157" s="35" t="str">
        <f>'FOUND DATA'!C135</f>
        <v/>
      </c>
    </row>
    <row r="158">
      <c r="A158" s="36" t="str">
        <f>'FOUND DATA'!B136</f>
        <v/>
      </c>
      <c r="B158" s="35" t="str">
        <f>'FOUND DATA'!C136</f>
        <v/>
      </c>
    </row>
    <row r="159">
      <c r="A159" s="36" t="str">
        <f>'FOUND DATA'!B137</f>
        <v/>
      </c>
      <c r="B159" s="35" t="str">
        <f>'FOUND DATA'!C137</f>
        <v/>
      </c>
    </row>
    <row r="160">
      <c r="A160" s="36" t="str">
        <f>'FOUND DATA'!B138</f>
        <v/>
      </c>
      <c r="B160" s="35" t="str">
        <f>'FOUND DATA'!C138</f>
        <v/>
      </c>
    </row>
    <row r="161">
      <c r="A161" s="36" t="str">
        <f>'FOUND DATA'!B139</f>
        <v/>
      </c>
      <c r="B161" s="35" t="str">
        <f>'FOUND DATA'!C139</f>
        <v/>
      </c>
    </row>
    <row r="162">
      <c r="A162" s="36" t="str">
        <f>'FOUND DATA'!B140</f>
        <v/>
      </c>
      <c r="B162" s="35" t="str">
        <f>'FOUND DATA'!C140</f>
        <v/>
      </c>
    </row>
    <row r="163">
      <c r="A163" s="36" t="str">
        <f>'FOUND DATA'!B141</f>
        <v/>
      </c>
      <c r="B163" s="35" t="str">
        <f>'FOUND DATA'!C141</f>
        <v/>
      </c>
    </row>
    <row r="164">
      <c r="A164" s="36" t="str">
        <f>'FOUND DATA'!B142</f>
        <v/>
      </c>
      <c r="B164" s="35" t="str">
        <f>'FOUND DATA'!C142</f>
        <v/>
      </c>
    </row>
    <row r="165">
      <c r="A165" s="36" t="str">
        <f>'FOUND DATA'!B143</f>
        <v/>
      </c>
      <c r="B165" s="35" t="str">
        <f>'FOUND DATA'!C143</f>
        <v/>
      </c>
    </row>
    <row r="166">
      <c r="A166" s="36" t="str">
        <f>'FOUND DATA'!B144</f>
        <v/>
      </c>
      <c r="B166" s="35" t="str">
        <f>'FOUND DATA'!C144</f>
        <v/>
      </c>
    </row>
    <row r="167">
      <c r="A167" s="36" t="str">
        <f>'FOUND DATA'!B145</f>
        <v/>
      </c>
      <c r="B167" s="35" t="str">
        <f>'FOUND DATA'!C145</f>
        <v/>
      </c>
    </row>
    <row r="168">
      <c r="A168" s="36" t="str">
        <f>'FOUND DATA'!B146</f>
        <v/>
      </c>
      <c r="B168" s="35" t="str">
        <f>'FOUND DATA'!C146</f>
        <v/>
      </c>
    </row>
    <row r="169">
      <c r="A169" s="36" t="str">
        <f>'FOUND DATA'!B147</f>
        <v/>
      </c>
      <c r="B169" s="35" t="str">
        <f>'FOUND DATA'!C147</f>
        <v/>
      </c>
    </row>
    <row r="170">
      <c r="A170" s="36" t="str">
        <f>'FOUND DATA'!B148</f>
        <v/>
      </c>
      <c r="B170" s="35" t="str">
        <f>'FOUND DATA'!C148</f>
        <v/>
      </c>
    </row>
    <row r="171">
      <c r="A171" s="36" t="str">
        <f>'FOUND DATA'!B149</f>
        <v/>
      </c>
      <c r="B171" s="35" t="str">
        <f>'FOUND DATA'!C149</f>
        <v/>
      </c>
    </row>
    <row r="172">
      <c r="A172" s="36" t="str">
        <f>'FOUND DATA'!B150</f>
        <v/>
      </c>
      <c r="B172" s="35" t="str">
        <f>'FOUND DATA'!C150</f>
        <v/>
      </c>
    </row>
    <row r="173">
      <c r="A173" s="36" t="str">
        <f>'FOUND DATA'!B151</f>
        <v/>
      </c>
      <c r="B173" s="35" t="str">
        <f>'FOUND DATA'!C151</f>
        <v/>
      </c>
    </row>
    <row r="174">
      <c r="A174" s="36" t="str">
        <f>'FOUND DATA'!B152</f>
        <v/>
      </c>
      <c r="B174" s="35" t="str">
        <f>'FOUND DATA'!C152</f>
        <v/>
      </c>
    </row>
    <row r="175">
      <c r="A175" s="36" t="str">
        <f>'FOUND DATA'!B153</f>
        <v/>
      </c>
      <c r="B175" s="35" t="str">
        <f>'FOUND DATA'!C153</f>
        <v/>
      </c>
    </row>
    <row r="176">
      <c r="A176" s="36" t="str">
        <f>'FOUND DATA'!B154</f>
        <v/>
      </c>
      <c r="B176" s="35" t="str">
        <f>'FOUND DATA'!C154</f>
        <v/>
      </c>
    </row>
    <row r="177">
      <c r="A177" s="36" t="str">
        <f>'FOUND DATA'!B155</f>
        <v/>
      </c>
      <c r="B177" s="35" t="str">
        <f>'FOUND DATA'!C155</f>
        <v/>
      </c>
    </row>
    <row r="178">
      <c r="A178" s="36" t="str">
        <f>'FOUND DATA'!B156</f>
        <v/>
      </c>
      <c r="B178" s="35" t="str">
        <f>'FOUND DATA'!C156</f>
        <v/>
      </c>
    </row>
    <row r="179">
      <c r="A179" s="36" t="str">
        <f>'FOUND DATA'!B157</f>
        <v/>
      </c>
      <c r="B179" s="35" t="str">
        <f>'FOUND DATA'!C157</f>
        <v/>
      </c>
    </row>
    <row r="180">
      <c r="A180" s="36" t="str">
        <f>'FOUND DATA'!B158</f>
        <v/>
      </c>
      <c r="B180" s="35" t="str">
        <f>'FOUND DATA'!C158</f>
        <v/>
      </c>
    </row>
    <row r="181">
      <c r="A181" s="36" t="str">
        <f>'FOUND DATA'!B159</f>
        <v/>
      </c>
      <c r="B181" s="35" t="str">
        <f>'FOUND DATA'!C159</f>
        <v/>
      </c>
    </row>
    <row r="182">
      <c r="A182" s="36" t="str">
        <f>'FOUND DATA'!B160</f>
        <v/>
      </c>
      <c r="B182" s="35" t="str">
        <f>'FOUND DATA'!C160</f>
        <v/>
      </c>
    </row>
    <row r="183">
      <c r="A183" s="36" t="str">
        <f>'FOUND DATA'!B161</f>
        <v/>
      </c>
      <c r="B183" s="35" t="str">
        <f>'FOUND DATA'!C161</f>
        <v/>
      </c>
    </row>
    <row r="184">
      <c r="A184" s="36" t="str">
        <f>'FOUND DATA'!B162</f>
        <v/>
      </c>
      <c r="B184" s="35" t="str">
        <f>'FOUND DATA'!C162</f>
        <v/>
      </c>
    </row>
    <row r="185">
      <c r="A185" s="36" t="str">
        <f>'FOUND DATA'!B163</f>
        <v/>
      </c>
      <c r="B185" s="35" t="str">
        <f>'FOUND DATA'!C163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DATA'!B4</f>
        <v># HWs</v>
      </c>
      <c r="B1" s="35" t="str">
        <f>'FOUND DATA'!C4</f>
        <v>HW Weight</v>
      </c>
      <c r="C1" s="36" t="str">
        <f>'FOUND DATA'!D4</f>
        <v># Project Assignments</v>
      </c>
      <c r="D1" s="35" t="str">
        <f>'FOUND DATA'!E4</f>
        <v>Project Weight</v>
      </c>
      <c r="E1" s="36" t="str">
        <f>'FOUND DATA'!F4</f>
        <v># Final exam</v>
      </c>
      <c r="F1" s="35" t="str">
        <f>'FOUND DATA'!G4</f>
        <v>Final Weight</v>
      </c>
      <c r="G1" s="36" t="str">
        <f>'FOUND DATA'!H4</f>
        <v># Other Exams</v>
      </c>
      <c r="H1" s="35" t="str">
        <f>'FOUND DATA'!I4</f>
        <v>Exam Weight</v>
      </c>
    </row>
    <row r="2">
      <c r="A2" s="36">
        <f>'FOUND DATA'!B5</f>
        <v>5</v>
      </c>
      <c r="B2" s="35">
        <f>'FOUND DATA'!C5</f>
        <v>0.2</v>
      </c>
      <c r="C2" s="36">
        <f>'FOUND DATA'!D5</f>
        <v>10</v>
      </c>
      <c r="D2" s="35">
        <f>'FOUND DATA'!E5</f>
        <v>0.6</v>
      </c>
      <c r="E2" s="36">
        <f>'FOUND DATA'!F5</f>
        <v>0</v>
      </c>
      <c r="F2" s="35">
        <f>'FOUND DATA'!G5</f>
        <v>0</v>
      </c>
      <c r="G2" s="36">
        <f>'FOUND DATA'!H5</f>
        <v>0</v>
      </c>
      <c r="H2" s="35">
        <f>'FOUND DATA'!I5</f>
        <v>0</v>
      </c>
    </row>
    <row r="3">
      <c r="A3" s="36">
        <f>'FOUND DATA'!B6</f>
        <v>8</v>
      </c>
      <c r="B3" s="35">
        <f>'FOUND DATA'!C6</f>
        <v>0.32</v>
      </c>
      <c r="C3" s="36">
        <f>'FOUND DATA'!D6</f>
        <v>4</v>
      </c>
      <c r="D3" s="35">
        <f>'FOUND DATA'!E6</f>
        <v>0.16</v>
      </c>
      <c r="E3" s="36">
        <f>'FOUND DATA'!F6</f>
        <v>1</v>
      </c>
      <c r="F3" s="35">
        <f>'FOUND DATA'!G6</f>
        <v>0.2</v>
      </c>
      <c r="G3" s="36">
        <f>'FOUND DATA'!H6</f>
        <v>0</v>
      </c>
      <c r="H3" s="35">
        <f>'FOUND DATA'!I6</f>
        <v>0</v>
      </c>
    </row>
    <row r="4">
      <c r="A4" s="36">
        <f>'FOUND DATA'!B7</f>
        <v>8</v>
      </c>
      <c r="B4" s="35">
        <f>'FOUND DATA'!C7</f>
        <v>0.32</v>
      </c>
      <c r="C4" s="36">
        <f>'FOUND DATA'!D7</f>
        <v>4</v>
      </c>
      <c r="D4" s="35">
        <f>'FOUND DATA'!E7</f>
        <v>0.16</v>
      </c>
      <c r="E4" s="36">
        <f>'FOUND DATA'!F7</f>
        <v>1</v>
      </c>
      <c r="F4" s="35">
        <f>'FOUND DATA'!G7</f>
        <v>0.2</v>
      </c>
      <c r="G4" s="36">
        <f>'FOUND DATA'!H7</f>
        <v>0</v>
      </c>
      <c r="H4" s="35">
        <f>'FOUND DATA'!I7</f>
        <v>0</v>
      </c>
    </row>
    <row r="5">
      <c r="A5" s="36">
        <f>'FOUND DATA'!B8</f>
        <v>8</v>
      </c>
      <c r="B5" s="35">
        <f>'FOUND DATA'!C8</f>
        <v>0.3</v>
      </c>
      <c r="C5" s="36">
        <f>'FOUND DATA'!D8</f>
        <v>6</v>
      </c>
      <c r="D5" s="35">
        <f>'FOUND DATA'!E8</f>
        <v>0.2</v>
      </c>
      <c r="E5" s="36">
        <f>'FOUND DATA'!F8</f>
        <v>0</v>
      </c>
      <c r="F5" s="35">
        <f>'FOUND DATA'!G8</f>
        <v>0</v>
      </c>
      <c r="G5" s="36">
        <f>'FOUND DATA'!H8</f>
        <v>3</v>
      </c>
      <c r="H5" s="35">
        <f>'FOUND DATA'!I8</f>
        <v>0.45</v>
      </c>
    </row>
    <row r="6">
      <c r="A6" s="36">
        <f>'FOUND DATA'!B9</f>
        <v>16</v>
      </c>
      <c r="B6" s="35">
        <f>'FOUND DATA'!C9</f>
        <v>0.5</v>
      </c>
      <c r="C6" s="36">
        <f>'FOUND DATA'!D9</f>
        <v>6</v>
      </c>
      <c r="D6" s="35">
        <f>'FOUND DATA'!E9</f>
        <v>0.2</v>
      </c>
      <c r="E6" s="36">
        <f>'FOUND DATA'!F9</f>
        <v>0</v>
      </c>
      <c r="F6" s="35">
        <f>'FOUND DATA'!G9</f>
        <v>0</v>
      </c>
      <c r="G6" s="36">
        <f>'FOUND DATA'!H9</f>
        <v>3</v>
      </c>
      <c r="H6" s="35">
        <f>'FOUND DATA'!I9</f>
        <v>0.3</v>
      </c>
    </row>
    <row r="7">
      <c r="A7" s="36">
        <f>'FOUND DATA'!B10</f>
        <v>9</v>
      </c>
      <c r="B7" s="35">
        <f>'FOUND DATA'!C10</f>
        <v>0.36</v>
      </c>
      <c r="C7" s="36">
        <f>'FOUND DATA'!D10</f>
        <v>0</v>
      </c>
      <c r="D7" s="35">
        <f>'FOUND DATA'!E10</f>
        <v>0</v>
      </c>
      <c r="E7" s="36">
        <f>'FOUND DATA'!F10</f>
        <v>0</v>
      </c>
      <c r="F7" s="35">
        <f>'FOUND DATA'!G10</f>
        <v>0</v>
      </c>
      <c r="G7" s="36">
        <f>'FOUND DATA'!H10</f>
        <v>4</v>
      </c>
      <c r="H7" s="35">
        <f>'FOUND DATA'!I10</f>
        <v>0.48</v>
      </c>
    </row>
    <row r="8">
      <c r="A8" s="36">
        <f>'FOUND DATA'!B11</f>
        <v>11</v>
      </c>
      <c r="B8" s="35">
        <f>'FOUND DATA'!C11</f>
        <v>0.25</v>
      </c>
      <c r="C8" s="36">
        <f>'FOUND DATA'!D11</f>
        <v>5</v>
      </c>
      <c r="D8" s="35">
        <f>'FOUND DATA'!E11</f>
        <v>0.15</v>
      </c>
      <c r="E8" s="36">
        <f>'FOUND DATA'!F11</f>
        <v>1</v>
      </c>
      <c r="F8" s="35">
        <f>'FOUND DATA'!G11</f>
        <v>0.2</v>
      </c>
      <c r="G8" s="36">
        <f>'FOUND DATA'!H11</f>
        <v>3</v>
      </c>
      <c r="H8" s="35">
        <f>'FOUND DATA'!I11</f>
        <v>0.3</v>
      </c>
    </row>
    <row r="9">
      <c r="A9" s="36">
        <f>'FOUND DATA'!B12</f>
        <v>11</v>
      </c>
      <c r="B9" s="35">
        <f>'FOUND DATA'!C12</f>
        <v>0.25</v>
      </c>
      <c r="C9" s="36">
        <f>'FOUND DATA'!D12</f>
        <v>4</v>
      </c>
      <c r="D9" s="35">
        <f>'FOUND DATA'!E12</f>
        <v>0.15</v>
      </c>
      <c r="E9" s="36">
        <f>'FOUND DATA'!F12</f>
        <v>1</v>
      </c>
      <c r="F9" s="35">
        <f>'FOUND DATA'!G12</f>
        <v>0.2</v>
      </c>
      <c r="G9" s="36">
        <f>'FOUND DATA'!H12</f>
        <v>3</v>
      </c>
      <c r="H9" s="35">
        <f>'FOUND DATA'!I12</f>
        <v>0.3</v>
      </c>
    </row>
    <row r="10">
      <c r="A10" s="36">
        <f>'FOUND DATA'!B13</f>
        <v>10</v>
      </c>
      <c r="B10" s="35">
        <f>'FOUND DATA'!C13</f>
        <v>0.25</v>
      </c>
      <c r="C10" s="36">
        <f>'FOUND DATA'!D13</f>
        <v>9</v>
      </c>
      <c r="D10" s="35">
        <f>'FOUND DATA'!E13</f>
        <v>0.15</v>
      </c>
      <c r="E10" s="36">
        <f>'FOUND DATA'!F13</f>
        <v>1</v>
      </c>
      <c r="F10" s="35">
        <f>'FOUND DATA'!G13</f>
        <v>0.2</v>
      </c>
      <c r="G10" s="36">
        <f>'FOUND DATA'!H13</f>
        <v>3</v>
      </c>
      <c r="H10" s="35">
        <f>'FOUND DATA'!I13</f>
        <v>0.3</v>
      </c>
    </row>
    <row r="11">
      <c r="A11" s="36">
        <f>'FOUND DATA'!B14</f>
        <v>10</v>
      </c>
      <c r="B11" s="35">
        <f>'FOUND DATA'!C14</f>
        <v>0.25</v>
      </c>
      <c r="C11" s="36">
        <f>'FOUND DATA'!D14</f>
        <v>6</v>
      </c>
      <c r="D11" s="35">
        <f>'FOUND DATA'!E14</f>
        <v>0.15</v>
      </c>
      <c r="E11" s="36">
        <f>'FOUND DATA'!F14</f>
        <v>1</v>
      </c>
      <c r="F11" s="35">
        <f>'FOUND DATA'!G14</f>
        <v>0.2</v>
      </c>
      <c r="G11" s="36">
        <f>'FOUND DATA'!H14</f>
        <v>3</v>
      </c>
      <c r="H11" s="35">
        <f>'FOUND DATA'!I14</f>
        <v>0.3</v>
      </c>
    </row>
    <row r="12">
      <c r="A12" s="36">
        <f>'FOUND DATA'!B15</f>
        <v>10</v>
      </c>
      <c r="B12" s="35">
        <f>'FOUND DATA'!C15</f>
        <v>0.25</v>
      </c>
      <c r="C12" s="36">
        <f>'FOUND DATA'!D15</f>
        <v>1</v>
      </c>
      <c r="D12" s="35">
        <f>'FOUND DATA'!E15</f>
        <v>0.1</v>
      </c>
      <c r="E12" s="36">
        <f>'FOUND DATA'!F15</f>
        <v>1</v>
      </c>
      <c r="F12" s="35">
        <f>'FOUND DATA'!G15</f>
        <v>0.2</v>
      </c>
      <c r="G12" s="36">
        <f>'FOUND DATA'!H15</f>
        <v>3</v>
      </c>
      <c r="H12" s="35">
        <f>'FOUND DATA'!I15</f>
        <v>0.3</v>
      </c>
    </row>
    <row r="13">
      <c r="A13" s="36">
        <f>'FOUND DATA'!B16</f>
        <v>10</v>
      </c>
      <c r="B13" s="35">
        <f>'FOUND DATA'!C16</f>
        <v>0.25</v>
      </c>
      <c r="C13" s="36">
        <f>'FOUND DATA'!D16</f>
        <v>1</v>
      </c>
      <c r="D13" s="35">
        <f>'FOUND DATA'!E16</f>
        <v>0.1</v>
      </c>
      <c r="E13" s="36">
        <f>'FOUND DATA'!F16</f>
        <v>1</v>
      </c>
      <c r="F13" s="35">
        <f>'FOUND DATA'!G16</f>
        <v>0.2</v>
      </c>
      <c r="G13" s="36">
        <f>'FOUND DATA'!H16</f>
        <v>3</v>
      </c>
      <c r="H13" s="35">
        <f>'FOUND DATA'!I16</f>
        <v>0.3</v>
      </c>
    </row>
    <row r="14">
      <c r="A14" s="36">
        <f>'FOUND DATA'!B17</f>
        <v>12</v>
      </c>
      <c r="B14" s="35">
        <f>'FOUND DATA'!C17</f>
        <v>0.45</v>
      </c>
      <c r="C14" s="36">
        <f>'FOUND DATA'!D17</f>
        <v>11</v>
      </c>
      <c r="D14" s="35">
        <f>'FOUND DATA'!E17</f>
        <v>0.5</v>
      </c>
      <c r="E14" s="36">
        <f>'FOUND DATA'!F17</f>
        <v>0</v>
      </c>
      <c r="F14" s="35">
        <f>'FOUND DATA'!G17</f>
        <v>0</v>
      </c>
      <c r="G14" s="36">
        <f>'FOUND DATA'!H17</f>
        <v>0</v>
      </c>
      <c r="H14" s="35">
        <f>'FOUND DATA'!I17</f>
        <v>0</v>
      </c>
    </row>
    <row r="15">
      <c r="A15" s="36">
        <f>'FOUND DATA'!B18</f>
        <v>8</v>
      </c>
      <c r="B15" s="35">
        <f>'FOUND DATA'!C18</f>
        <v>0.15</v>
      </c>
      <c r="C15" s="36">
        <f>'FOUND DATA'!D18</f>
        <v>1</v>
      </c>
      <c r="D15" s="35">
        <f>'FOUND DATA'!E18</f>
        <v>0.1</v>
      </c>
      <c r="E15" s="36">
        <f>'FOUND DATA'!F18</f>
        <v>1</v>
      </c>
      <c r="F15" s="35">
        <f>'FOUND DATA'!G18</f>
        <v>0.22</v>
      </c>
      <c r="G15" s="36">
        <f>'FOUND DATA'!H18</f>
        <v>3</v>
      </c>
      <c r="H15" s="35">
        <f>'FOUND DATA'!I18</f>
        <v>0.42</v>
      </c>
    </row>
    <row r="16">
      <c r="A16" s="36">
        <f>'FOUND DATA'!B19</f>
        <v>4</v>
      </c>
      <c r="B16" s="35">
        <f>'FOUND DATA'!C19</f>
        <v>0.2</v>
      </c>
      <c r="C16" s="36">
        <f>'FOUND DATA'!D19</f>
        <v>0</v>
      </c>
      <c r="D16" s="35">
        <f>'FOUND DATA'!E19</f>
        <v>0</v>
      </c>
      <c r="E16" s="36">
        <f>'FOUND DATA'!F19</f>
        <v>0</v>
      </c>
      <c r="F16" s="35">
        <f>'FOUND DATA'!G19</f>
        <v>0</v>
      </c>
      <c r="G16" s="36">
        <f>'FOUND DATA'!H19</f>
        <v>4</v>
      </c>
      <c r="H16" s="35">
        <f>'FOUND DATA'!I19</f>
        <v>0.8</v>
      </c>
    </row>
    <row r="17">
      <c r="A17" s="36">
        <f>'FOUND DATA'!B20</f>
        <v>6</v>
      </c>
      <c r="B17" s="35">
        <f>'FOUND DATA'!C20</f>
        <v>0.15</v>
      </c>
      <c r="C17" s="36">
        <f>'FOUND DATA'!D20</f>
        <v>0</v>
      </c>
      <c r="D17" s="35">
        <f>'FOUND DATA'!E20</f>
        <v>0</v>
      </c>
      <c r="E17" s="36">
        <f>'FOUND DATA'!F20</f>
        <v>1</v>
      </c>
      <c r="F17" s="35">
        <f>'FOUND DATA'!G20</f>
        <v>0.25</v>
      </c>
      <c r="G17" s="36">
        <f>'FOUND DATA'!H20</f>
        <v>2</v>
      </c>
      <c r="H17" s="35">
        <f>'FOUND DATA'!I20</f>
        <v>0.4</v>
      </c>
    </row>
    <row r="18">
      <c r="A18" s="36">
        <f>'FOUND DATA'!B21</f>
        <v>6</v>
      </c>
      <c r="B18" s="35">
        <f>'FOUND DATA'!C21</f>
        <v>0.15</v>
      </c>
      <c r="C18" s="36">
        <f>'FOUND DATA'!D21</f>
        <v>0</v>
      </c>
      <c r="D18" s="35">
        <f>'FOUND DATA'!E21</f>
        <v>0</v>
      </c>
      <c r="E18" s="36">
        <f>'FOUND DATA'!F21</f>
        <v>1</v>
      </c>
      <c r="F18" s="35">
        <f>'FOUND DATA'!G21</f>
        <v>0.25</v>
      </c>
      <c r="G18" s="36">
        <f>'FOUND DATA'!H21</f>
        <v>2</v>
      </c>
      <c r="H18" s="35">
        <f>'FOUND DATA'!I21</f>
        <v>0.4</v>
      </c>
    </row>
    <row r="19">
      <c r="A19" s="36">
        <f>'FOUND DATA'!B22</f>
        <v>0</v>
      </c>
      <c r="B19" s="36">
        <f>'FOUND DATA'!C22</f>
        <v>0</v>
      </c>
      <c r="C19" s="36">
        <f>'FOUND DATA'!D22</f>
        <v>11</v>
      </c>
      <c r="D19" s="36">
        <f>'FOUND DATA'!E22</f>
        <v>0.95</v>
      </c>
      <c r="E19" s="36">
        <f>'FOUND DATA'!F22</f>
        <v>0</v>
      </c>
      <c r="F19" s="36">
        <f>'FOUND DATA'!G22</f>
        <v>0</v>
      </c>
      <c r="G19" s="36">
        <f>'FOUND DATA'!H22</f>
        <v>0</v>
      </c>
      <c r="H19" s="36">
        <f>'FOUND DATA'!I22</f>
        <v>0</v>
      </c>
    </row>
    <row r="20">
      <c r="A20" s="36">
        <f>'FOUND DATA'!B23</f>
        <v>11</v>
      </c>
      <c r="B20" s="36">
        <f>'FOUND DATA'!C23</f>
        <v>0.25</v>
      </c>
      <c r="C20" s="36">
        <f>'FOUND DATA'!D23</f>
        <v>1</v>
      </c>
      <c r="D20" s="36">
        <f>'FOUND DATA'!E23</f>
        <v>0.2</v>
      </c>
      <c r="E20" s="36">
        <f>'FOUND DATA'!F23</f>
        <v>0</v>
      </c>
      <c r="F20" s="36">
        <f>'FOUND DATA'!G23</f>
        <v>0</v>
      </c>
      <c r="G20" s="36">
        <f>'FOUND DATA'!H23</f>
        <v>2</v>
      </c>
      <c r="H20" s="36">
        <f>'FOUND DATA'!I23</f>
        <v>0.5</v>
      </c>
    </row>
    <row r="21">
      <c r="A21" s="36">
        <f>'FOUND DATA'!B24</f>
        <v>0</v>
      </c>
      <c r="B21" s="36">
        <f>'FOUND DATA'!C24</f>
        <v>0</v>
      </c>
      <c r="C21" s="36">
        <f>'FOUND DATA'!D24</f>
        <v>3</v>
      </c>
      <c r="D21" s="36">
        <f>'FOUND DATA'!E24</f>
        <v>0.84</v>
      </c>
      <c r="E21" s="36">
        <f>'FOUND DATA'!F24</f>
        <v>0</v>
      </c>
      <c r="F21" s="36">
        <f>'FOUND DATA'!G24</f>
        <v>0</v>
      </c>
      <c r="G21" s="36">
        <f>'FOUND DATA'!H24</f>
        <v>0</v>
      </c>
      <c r="H21" s="36">
        <f>'FOUND DATA'!I24</f>
        <v>0</v>
      </c>
    </row>
    <row r="22">
      <c r="A22" s="36">
        <f>'FOUND DATA'!B25</f>
        <v>14</v>
      </c>
      <c r="B22" s="36">
        <f>'FOUND DATA'!C25</f>
        <v>0.1</v>
      </c>
      <c r="C22" s="36">
        <f>'FOUND DATA'!D25</f>
        <v>0</v>
      </c>
      <c r="D22" s="36">
        <f>'FOUND DATA'!E25</f>
        <v>0</v>
      </c>
      <c r="E22" s="36">
        <f>'FOUND DATA'!F25</f>
        <v>1</v>
      </c>
      <c r="F22" s="36">
        <f>'FOUND DATA'!G25</f>
        <v>0.3</v>
      </c>
      <c r="G22" s="36">
        <f>'FOUND DATA'!H25</f>
        <v>3</v>
      </c>
      <c r="H22" s="36">
        <f>'FOUND DATA'!I25</f>
        <v>0.5</v>
      </c>
    </row>
    <row r="23">
      <c r="A23" s="36">
        <f>'FOUND DATA'!B26</f>
        <v>10</v>
      </c>
      <c r="B23" s="36">
        <f>'FOUND DATA'!C26</f>
        <v>0.15</v>
      </c>
      <c r="C23" s="36">
        <f>'FOUND DATA'!D26</f>
        <v>0</v>
      </c>
      <c r="D23" s="36">
        <f>'FOUND DATA'!E26</f>
        <v>0</v>
      </c>
      <c r="E23" s="36">
        <f>'FOUND DATA'!F26</f>
        <v>1</v>
      </c>
      <c r="F23" s="36">
        <f>'FOUND DATA'!G26</f>
        <v>0.3</v>
      </c>
      <c r="G23" s="36">
        <f>'FOUND DATA'!H26</f>
        <v>2</v>
      </c>
      <c r="H23" s="36">
        <f>'FOUND DATA'!I26</f>
        <v>0.4</v>
      </c>
    </row>
    <row r="24">
      <c r="A24" s="36">
        <f>'FOUND DATA'!B27</f>
        <v>10</v>
      </c>
      <c r="B24" s="36">
        <f>'FOUND DATA'!C27</f>
        <v>0.15</v>
      </c>
      <c r="C24" s="36">
        <f>'FOUND DATA'!D27</f>
        <v>0</v>
      </c>
      <c r="D24" s="36">
        <f>'FOUND DATA'!E27</f>
        <v>0</v>
      </c>
      <c r="E24" s="36">
        <f>'FOUND DATA'!F27</f>
        <v>1</v>
      </c>
      <c r="F24" s="36">
        <f>'FOUND DATA'!G27</f>
        <v>0.3</v>
      </c>
      <c r="G24" s="36">
        <f>'FOUND DATA'!H27</f>
        <v>2</v>
      </c>
      <c r="H24" s="36">
        <f>'FOUND DATA'!I27</f>
        <v>0.4</v>
      </c>
    </row>
    <row r="25">
      <c r="A25" s="36">
        <f>'FOUND DATA'!B28</f>
        <v>11</v>
      </c>
      <c r="B25" s="36">
        <f>'FOUND DATA'!C28</f>
        <v>0.15</v>
      </c>
      <c r="C25" s="36">
        <f>'FOUND DATA'!D28</f>
        <v>0</v>
      </c>
      <c r="D25" s="36">
        <f>'FOUND DATA'!E28</f>
        <v>0</v>
      </c>
      <c r="E25" s="36">
        <f>'FOUND DATA'!F28</f>
        <v>1</v>
      </c>
      <c r="F25" s="36">
        <f>'FOUND DATA'!G28</f>
        <v>0.2125</v>
      </c>
      <c r="G25" s="36">
        <f>'FOUND DATA'!H28</f>
        <v>3</v>
      </c>
      <c r="H25" s="36">
        <f>'FOUND DATA'!I28</f>
        <v>0.6375</v>
      </c>
    </row>
    <row r="26">
      <c r="A26" s="36">
        <f>'FOUND DATA'!B29</f>
        <v>11</v>
      </c>
      <c r="B26" s="36">
        <f>'FOUND DATA'!C29</f>
        <v>0.5</v>
      </c>
      <c r="C26" s="36">
        <f>'FOUND DATA'!D29</f>
        <v>0</v>
      </c>
      <c r="D26" s="36">
        <f>'FOUND DATA'!E29</f>
        <v>0</v>
      </c>
      <c r="E26" s="36">
        <f>'FOUND DATA'!F29</f>
        <v>0</v>
      </c>
      <c r="F26" s="36">
        <f>'FOUND DATA'!G29</f>
        <v>0</v>
      </c>
      <c r="G26" s="36">
        <f>'FOUND DATA'!H29</f>
        <v>3</v>
      </c>
      <c r="H26" s="36">
        <f>'FOUND DATA'!I29</f>
        <v>0.5</v>
      </c>
    </row>
    <row r="27">
      <c r="A27" s="36">
        <f>'FOUND DATA'!B30</f>
        <v>14</v>
      </c>
      <c r="B27" s="36">
        <f>'FOUND DATA'!C30</f>
        <v>0.1</v>
      </c>
      <c r="C27" s="36">
        <f>'FOUND DATA'!D30</f>
        <v>2</v>
      </c>
      <c r="D27" s="36">
        <f>'FOUND DATA'!E30</f>
        <v>0.15</v>
      </c>
      <c r="E27" s="36">
        <f>'FOUND DATA'!F30</f>
        <v>1</v>
      </c>
      <c r="F27" s="36">
        <f>'FOUND DATA'!G30</f>
        <v>0.35</v>
      </c>
      <c r="G27" s="36">
        <f>'FOUND DATA'!H30</f>
        <v>1</v>
      </c>
      <c r="H27" s="36">
        <f>'FOUND DATA'!I30</f>
        <v>0.2</v>
      </c>
    </row>
    <row r="28">
      <c r="A28" s="36">
        <f>'FOUND DATA'!B31</f>
        <v>13</v>
      </c>
      <c r="B28" s="35">
        <f>'FOUND DATA'!C31</f>
        <v>0.1</v>
      </c>
      <c r="C28" s="36">
        <f>'FOUND DATA'!D31</f>
        <v>0</v>
      </c>
      <c r="D28" s="35">
        <f>'FOUND DATA'!E31</f>
        <v>0</v>
      </c>
      <c r="E28" s="36">
        <f>'FOUND DATA'!F31</f>
        <v>1</v>
      </c>
      <c r="F28" s="35">
        <f>'FOUND DATA'!G31</f>
        <v>0.25</v>
      </c>
      <c r="G28" s="36">
        <f>'FOUND DATA'!H31</f>
        <v>2</v>
      </c>
      <c r="H28" s="35">
        <f>'FOUND DATA'!I31</f>
        <v>0.4</v>
      </c>
    </row>
    <row r="29">
      <c r="A29" s="36">
        <f>'FOUND DATA'!B32</f>
        <v>0</v>
      </c>
      <c r="B29" s="35">
        <f>'FOUND DATA'!C32</f>
        <v>0</v>
      </c>
      <c r="C29" s="36">
        <f>'FOUND DATA'!D32</f>
        <v>0</v>
      </c>
      <c r="D29" s="35">
        <f>'FOUND DATA'!E32</f>
        <v>0</v>
      </c>
      <c r="E29" s="36">
        <f>'FOUND DATA'!F32</f>
        <v>1</v>
      </c>
      <c r="F29" s="35">
        <f>'FOUND DATA'!G32</f>
        <v>0.2</v>
      </c>
      <c r="G29" s="36">
        <f>'FOUND DATA'!H32</f>
        <v>3</v>
      </c>
      <c r="H29" s="35">
        <f>'FOUND DATA'!I32</f>
        <v>0.55</v>
      </c>
    </row>
    <row r="30">
      <c r="A30" s="36">
        <f>'FOUND DATA'!B33</f>
        <v>12</v>
      </c>
      <c r="B30" s="35">
        <f>'FOUND DATA'!C33</f>
        <v>0.05</v>
      </c>
      <c r="C30" s="36">
        <f>'FOUND DATA'!D33</f>
        <v>0</v>
      </c>
      <c r="D30" s="35">
        <f>'FOUND DATA'!E33</f>
        <v>0</v>
      </c>
      <c r="E30" s="36">
        <f>'FOUND DATA'!F33</f>
        <v>0</v>
      </c>
      <c r="F30" s="35">
        <f>'FOUND DATA'!G33</f>
        <v>0</v>
      </c>
      <c r="G30" s="36">
        <f>'FOUND DATA'!H33</f>
        <v>3</v>
      </c>
      <c r="H30" s="35">
        <f>'FOUND DATA'!I33</f>
        <v>0.8</v>
      </c>
    </row>
    <row r="31">
      <c r="A31" s="36">
        <f>'FOUND DATA'!B34</f>
        <v>10</v>
      </c>
      <c r="B31" s="35">
        <f>'FOUND DATA'!C34</f>
        <v>0.19</v>
      </c>
      <c r="C31" s="36">
        <f>'FOUND DATA'!D34</f>
        <v>0</v>
      </c>
      <c r="D31" s="35">
        <f>'FOUND DATA'!E34</f>
        <v>0</v>
      </c>
      <c r="E31" s="36">
        <f>'FOUND DATA'!F34</f>
        <v>0</v>
      </c>
      <c r="F31" s="35">
        <f>'FOUND DATA'!G34</f>
        <v>0</v>
      </c>
      <c r="G31" s="36">
        <f>'FOUND DATA'!H34</f>
        <v>3</v>
      </c>
      <c r="H31" s="35">
        <f>'FOUND DATA'!I34</f>
        <v>0.6</v>
      </c>
    </row>
    <row r="32">
      <c r="A32" s="36">
        <f>'FOUND DATA'!B35</f>
        <v>8</v>
      </c>
      <c r="B32" s="35">
        <f>'FOUND DATA'!C35</f>
        <v>0.08</v>
      </c>
      <c r="C32" s="36">
        <f>'FOUND DATA'!D35</f>
        <v>1</v>
      </c>
      <c r="D32" s="35">
        <f>'FOUND DATA'!E35</f>
        <v>0.15</v>
      </c>
      <c r="E32" s="36">
        <f>'FOUND DATA'!F35</f>
        <v>1</v>
      </c>
      <c r="F32" s="35">
        <f>'FOUND DATA'!G35</f>
        <v>0.3</v>
      </c>
      <c r="G32" s="36">
        <f>'FOUND DATA'!H35</f>
        <v>2</v>
      </c>
      <c r="H32" s="35">
        <f>'FOUND DATA'!I35</f>
        <v>0.44</v>
      </c>
    </row>
    <row r="33">
      <c r="A33" s="36">
        <f>'FOUND DATA'!B36</f>
        <v>13</v>
      </c>
      <c r="B33" s="35">
        <f>'FOUND DATA'!C36</f>
        <v>0.27</v>
      </c>
      <c r="C33" s="36">
        <f>'FOUND DATA'!D36</f>
        <v>0</v>
      </c>
      <c r="D33" s="35">
        <f>'FOUND DATA'!E36</f>
        <v>0</v>
      </c>
      <c r="E33" s="36">
        <f>'FOUND DATA'!F36</f>
        <v>1</v>
      </c>
      <c r="F33" s="35">
        <f>'FOUND DATA'!G36</f>
        <v>0.3</v>
      </c>
      <c r="G33" s="36">
        <f>'FOUND DATA'!H36</f>
        <v>2</v>
      </c>
      <c r="H33" s="35">
        <f>'FOUND DATA'!I36</f>
        <v>0.38</v>
      </c>
    </row>
    <row r="34">
      <c r="A34" s="36">
        <f>'FOUND DATA'!B37</f>
        <v>12</v>
      </c>
      <c r="B34" s="35">
        <f>'FOUND DATA'!C37</f>
        <v>0.4</v>
      </c>
      <c r="C34" s="36">
        <f>'FOUND DATA'!D37</f>
        <v>2</v>
      </c>
      <c r="D34" s="35">
        <f>'FOUND DATA'!E37</f>
        <v>0.3</v>
      </c>
      <c r="E34" s="36">
        <f>'FOUND DATA'!F37</f>
        <v>0</v>
      </c>
      <c r="F34" s="35">
        <f>'FOUND DATA'!G37</f>
        <v>0</v>
      </c>
      <c r="G34" s="36">
        <f>'FOUND DATA'!H37</f>
        <v>2</v>
      </c>
      <c r="H34" s="35">
        <f>'FOUND DATA'!I37</f>
        <v>0.3</v>
      </c>
    </row>
    <row r="35">
      <c r="A35" s="36">
        <f>'FOUND DATA'!B38</f>
        <v>5</v>
      </c>
      <c r="B35" s="35">
        <f>'FOUND DATA'!C38</f>
        <v>0.5</v>
      </c>
      <c r="C35" s="36">
        <f>'FOUND DATA'!D38</f>
        <v>0</v>
      </c>
      <c r="D35" s="35">
        <f>'FOUND DATA'!E38</f>
        <v>0</v>
      </c>
      <c r="E35" s="36">
        <f>'FOUND DATA'!F38</f>
        <v>0</v>
      </c>
      <c r="F35" s="35">
        <f>'FOUND DATA'!G38</f>
        <v>0</v>
      </c>
      <c r="G35" s="36">
        <f>'FOUND DATA'!H38</f>
        <v>2</v>
      </c>
      <c r="H35" s="35">
        <f>'FOUND DATA'!I38</f>
        <v>0.5</v>
      </c>
    </row>
    <row r="36">
      <c r="A36" s="36">
        <f>'FOUND DATA'!B39</f>
        <v>21</v>
      </c>
      <c r="B36" s="35">
        <f>'FOUND DATA'!C39</f>
        <v>0.7</v>
      </c>
      <c r="C36" s="36">
        <f>'FOUND DATA'!D39</f>
        <v>1</v>
      </c>
      <c r="D36" s="35">
        <f>'FOUND DATA'!E39</f>
        <v>0.3</v>
      </c>
      <c r="E36" s="36">
        <f>'FOUND DATA'!F39</f>
        <v>0</v>
      </c>
      <c r="F36" s="35">
        <f>'FOUND DATA'!G39</f>
        <v>0</v>
      </c>
      <c r="G36" s="36">
        <f>'FOUND DATA'!H39</f>
        <v>0</v>
      </c>
      <c r="H36" s="35">
        <f>'FOUND DATA'!I39</f>
        <v>0</v>
      </c>
    </row>
    <row r="37">
      <c r="A37" s="36">
        <f>'FOUND DATA'!B40</f>
        <v>15</v>
      </c>
      <c r="B37" s="35">
        <f>'FOUND DATA'!C40</f>
        <v>0.15</v>
      </c>
      <c r="C37" s="36">
        <f>'FOUND DATA'!D40</f>
        <v>3</v>
      </c>
      <c r="D37" s="35">
        <f>'FOUND DATA'!E40</f>
        <v>0.3</v>
      </c>
      <c r="E37" s="36">
        <f>'FOUND DATA'!F40</f>
        <v>1</v>
      </c>
      <c r="F37" s="35">
        <f>'FOUND DATA'!G40</f>
        <v>0.2</v>
      </c>
      <c r="G37" s="36">
        <f>'FOUND DATA'!H40</f>
        <v>1</v>
      </c>
      <c r="H37" s="35">
        <f>'FOUND DATA'!I40</f>
        <v>0.2</v>
      </c>
    </row>
    <row r="38">
      <c r="A38" s="36">
        <f>'FOUND DATA'!B41</f>
        <v>15</v>
      </c>
      <c r="B38" s="35">
        <f>'FOUND DATA'!C41</f>
        <v>0.15</v>
      </c>
      <c r="C38" s="36">
        <f>'FOUND DATA'!D41</f>
        <v>3</v>
      </c>
      <c r="D38" s="35">
        <f>'FOUND DATA'!E41</f>
        <v>0.3</v>
      </c>
      <c r="E38" s="36">
        <f>'FOUND DATA'!F41</f>
        <v>1</v>
      </c>
      <c r="F38" s="35">
        <f>'FOUND DATA'!G41</f>
        <v>0.2</v>
      </c>
      <c r="G38" s="36">
        <f>'FOUND DATA'!H41</f>
        <v>1</v>
      </c>
      <c r="H38" s="35">
        <f>'FOUND DATA'!I41</f>
        <v>0.2</v>
      </c>
    </row>
    <row r="39">
      <c r="A39" s="36">
        <f>'FOUND DATA'!B42</f>
        <v>15</v>
      </c>
      <c r="B39" s="35">
        <f>'FOUND DATA'!C42</f>
        <v>0.15</v>
      </c>
      <c r="C39" s="36">
        <f>'FOUND DATA'!D42</f>
        <v>3</v>
      </c>
      <c r="D39" s="35">
        <f>'FOUND DATA'!E42</f>
        <v>0.3</v>
      </c>
      <c r="E39" s="36">
        <f>'FOUND DATA'!F42</f>
        <v>1</v>
      </c>
      <c r="F39" s="35">
        <f>'FOUND DATA'!G42</f>
        <v>0.2</v>
      </c>
      <c r="G39" s="36">
        <f>'FOUND DATA'!H42</f>
        <v>1</v>
      </c>
      <c r="H39" s="35">
        <f>'FOUND DATA'!I42</f>
        <v>0.2</v>
      </c>
    </row>
    <row r="40">
      <c r="A40" s="36">
        <f>'FOUND DATA'!B43</f>
        <v>7</v>
      </c>
      <c r="B40" s="35">
        <f>'FOUND DATA'!C43</f>
        <v>0.5</v>
      </c>
      <c r="C40" s="36">
        <f>'FOUND DATA'!D43</f>
        <v>0</v>
      </c>
      <c r="D40" s="35">
        <f>'FOUND DATA'!E43</f>
        <v>0</v>
      </c>
      <c r="E40" s="36">
        <f>'FOUND DATA'!F43</f>
        <v>1</v>
      </c>
      <c r="F40" s="35">
        <f>'FOUND DATA'!G43</f>
        <v>0.3</v>
      </c>
      <c r="G40" s="36">
        <f>'FOUND DATA'!H43</f>
        <v>1</v>
      </c>
      <c r="H40" s="35">
        <f>'FOUND DATA'!I43</f>
        <v>0.2</v>
      </c>
    </row>
    <row r="41">
      <c r="A41" s="36">
        <f>'FOUND DATA'!B44</f>
        <v>7</v>
      </c>
      <c r="B41" s="35">
        <f>'FOUND DATA'!C44</f>
        <v>0.55</v>
      </c>
      <c r="C41" s="36">
        <f>'FOUND DATA'!D44</f>
        <v>0</v>
      </c>
      <c r="D41" s="35">
        <f>'FOUND DATA'!E44</f>
        <v>0</v>
      </c>
      <c r="E41" s="36">
        <f>'FOUND DATA'!F44</f>
        <v>0</v>
      </c>
      <c r="F41" s="35">
        <f>'FOUND DATA'!G44</f>
        <v>0</v>
      </c>
      <c r="G41" s="36">
        <f>'FOUND DATA'!H44</f>
        <v>2</v>
      </c>
      <c r="H41" s="35">
        <f>'FOUND DATA'!I44</f>
        <v>0.45</v>
      </c>
    </row>
    <row r="42">
      <c r="A42" s="36">
        <f>'FOUND DATA'!B45</f>
        <v>11</v>
      </c>
      <c r="B42" s="35">
        <f>'FOUND DATA'!C45</f>
        <v>0.22</v>
      </c>
      <c r="C42" s="36">
        <f>'FOUND DATA'!D45</f>
        <v>0</v>
      </c>
      <c r="D42" s="35">
        <f>'FOUND DATA'!E45</f>
        <v>0</v>
      </c>
      <c r="E42" s="36">
        <f>'FOUND DATA'!F45</f>
        <v>1</v>
      </c>
      <c r="F42" s="35">
        <f>'FOUND DATA'!G45</f>
        <v>0.24</v>
      </c>
      <c r="G42" s="36">
        <f>'FOUND DATA'!H45</f>
        <v>2</v>
      </c>
      <c r="H42" s="35">
        <f>'FOUND DATA'!I45</f>
        <v>0.49</v>
      </c>
    </row>
    <row r="43">
      <c r="A43" s="36">
        <f>'FOUND DATA'!B46</f>
        <v>0</v>
      </c>
      <c r="B43" s="35">
        <f>'FOUND DATA'!C46</f>
        <v>0</v>
      </c>
      <c r="C43" s="36">
        <f>'FOUND DATA'!D46</f>
        <v>4</v>
      </c>
      <c r="D43" s="35">
        <f>'FOUND DATA'!E46</f>
        <v>0.6</v>
      </c>
      <c r="E43" s="36">
        <f>'FOUND DATA'!F46</f>
        <v>0</v>
      </c>
      <c r="F43" s="35">
        <f>'FOUND DATA'!G46</f>
        <v>0</v>
      </c>
      <c r="G43" s="36">
        <f>'FOUND DATA'!H46</f>
        <v>0</v>
      </c>
      <c r="H43" s="35">
        <f>'FOUND DATA'!I46</f>
        <v>0</v>
      </c>
    </row>
    <row r="44">
      <c r="A44" s="36">
        <f>'FOUND DATA'!B47</f>
        <v>11</v>
      </c>
      <c r="B44" s="35">
        <f>'FOUND DATA'!C47</f>
        <v>0.6</v>
      </c>
      <c r="C44" s="36">
        <f>'FOUND DATA'!D47</f>
        <v>1</v>
      </c>
      <c r="D44" s="35">
        <f>'FOUND DATA'!E47</f>
        <v>0.4</v>
      </c>
      <c r="E44" s="36">
        <f>'FOUND DATA'!F47</f>
        <v>0</v>
      </c>
      <c r="F44" s="35">
        <f>'FOUND DATA'!G47</f>
        <v>0</v>
      </c>
      <c r="G44" s="36">
        <f>'FOUND DATA'!H47</f>
        <v>0</v>
      </c>
      <c r="H44" s="35">
        <f>'FOUND DATA'!I47</f>
        <v>0</v>
      </c>
    </row>
    <row r="45">
      <c r="A45" s="36">
        <f>'FOUND DATA'!B48</f>
        <v>15</v>
      </c>
      <c r="B45" s="35">
        <f>'FOUND DATA'!C48</f>
        <v>0.05</v>
      </c>
      <c r="C45" s="36">
        <f>'FOUND DATA'!D48</f>
        <v>1</v>
      </c>
      <c r="D45" s="35">
        <f>'FOUND DATA'!E48</f>
        <v>0.35</v>
      </c>
      <c r="E45" s="36">
        <f>'FOUND DATA'!F48</f>
        <v>0</v>
      </c>
      <c r="F45" s="35">
        <f>'FOUND DATA'!G48</f>
        <v>0</v>
      </c>
      <c r="G45" s="36">
        <f>'FOUND DATA'!H48</f>
        <v>3</v>
      </c>
      <c r="H45" s="35">
        <f>'FOUND DATA'!I48</f>
        <v>0.6</v>
      </c>
    </row>
    <row r="46">
      <c r="A46" s="36">
        <f>'FOUND DATA'!B49</f>
        <v>13</v>
      </c>
      <c r="B46" s="35">
        <f>'FOUND DATA'!C49</f>
        <v>0.25</v>
      </c>
      <c r="C46" s="36">
        <f>'FOUND DATA'!D49</f>
        <v>0</v>
      </c>
      <c r="D46" s="35">
        <f>'FOUND DATA'!E49</f>
        <v>0</v>
      </c>
      <c r="E46" s="36">
        <f>'FOUND DATA'!F49</f>
        <v>1</v>
      </c>
      <c r="F46" s="35">
        <f>'FOUND DATA'!G49</f>
        <v>0.35</v>
      </c>
      <c r="G46" s="36">
        <f>'FOUND DATA'!H49</f>
        <v>2</v>
      </c>
      <c r="H46" s="35">
        <f>'FOUND DATA'!I49</f>
        <v>0.4</v>
      </c>
    </row>
    <row r="47">
      <c r="A47" s="36">
        <f>'FOUND DATA'!B50</f>
        <v>14</v>
      </c>
      <c r="B47" s="35">
        <f>'FOUND DATA'!C50</f>
        <v>0.15</v>
      </c>
      <c r="C47" s="36">
        <f>'FOUND DATA'!D50</f>
        <v>0</v>
      </c>
      <c r="D47" s="35">
        <f>'FOUND DATA'!E50</f>
        <v>0</v>
      </c>
      <c r="E47" s="36">
        <f>'FOUND DATA'!F50</f>
        <v>1</v>
      </c>
      <c r="F47" s="35">
        <f>'FOUND DATA'!G50</f>
        <v>0.25</v>
      </c>
      <c r="G47" s="36">
        <f>'FOUND DATA'!H50</f>
        <v>2</v>
      </c>
      <c r="H47" s="35">
        <f>'FOUND DATA'!I50</f>
        <v>0.45</v>
      </c>
    </row>
    <row r="48">
      <c r="A48" s="36">
        <f>'FOUND DATA'!B51</f>
        <v>6</v>
      </c>
      <c r="B48" s="35">
        <f>'FOUND DATA'!C51</f>
        <v>0.15</v>
      </c>
      <c r="C48" s="36">
        <f>'FOUND DATA'!D51</f>
        <v>5</v>
      </c>
      <c r="D48" s="35">
        <f>'FOUND DATA'!E51</f>
        <v>0.3</v>
      </c>
      <c r="E48" s="36">
        <f>'FOUND DATA'!F51</f>
        <v>0</v>
      </c>
      <c r="F48" s="35">
        <f>'FOUND DATA'!G51</f>
        <v>0</v>
      </c>
      <c r="G48" s="36">
        <f>'FOUND DATA'!H51</f>
        <v>3</v>
      </c>
      <c r="H48" s="35">
        <f>'FOUND DATA'!I51</f>
        <v>0.45</v>
      </c>
    </row>
    <row r="49">
      <c r="A49" s="36">
        <f>'FOUND DATA'!B52</f>
        <v>17</v>
      </c>
      <c r="B49" s="35">
        <f>'FOUND DATA'!C52</f>
        <v>0.15</v>
      </c>
      <c r="C49" s="36">
        <f>'FOUND DATA'!D52</f>
        <v>0</v>
      </c>
      <c r="D49" s="35">
        <f>'FOUND DATA'!E52</f>
        <v>0</v>
      </c>
      <c r="E49" s="36">
        <f>'FOUND DATA'!F52</f>
        <v>1</v>
      </c>
      <c r="F49" s="35">
        <f>'FOUND DATA'!G52</f>
        <v>0.3</v>
      </c>
      <c r="G49" s="36">
        <f>'FOUND DATA'!H52</f>
        <v>2</v>
      </c>
      <c r="H49" s="35">
        <f>'FOUND DATA'!I52</f>
        <v>0.5</v>
      </c>
    </row>
    <row r="50">
      <c r="A50" s="36">
        <f>'FOUND DATA'!B53</f>
        <v>8</v>
      </c>
      <c r="B50" s="35">
        <f>'FOUND DATA'!C53</f>
        <v>0.3</v>
      </c>
      <c r="C50" s="36">
        <f>'FOUND DATA'!D53</f>
        <v>0</v>
      </c>
      <c r="D50" s="35">
        <f>'FOUND DATA'!E53</f>
        <v>0</v>
      </c>
      <c r="E50" s="36">
        <f>'FOUND DATA'!F53</f>
        <v>1</v>
      </c>
      <c r="F50" s="35">
        <f>'FOUND DATA'!G53</f>
        <v>0.3</v>
      </c>
      <c r="G50" s="36">
        <f>'FOUND DATA'!H53</f>
        <v>2</v>
      </c>
      <c r="H50" s="35">
        <f>'FOUND DATA'!I53</f>
        <v>0.4</v>
      </c>
    </row>
    <row r="51">
      <c r="A51" s="36">
        <f>'FOUND DATA'!B54</f>
        <v>7</v>
      </c>
      <c r="B51" s="35">
        <f>'FOUND DATA'!C54</f>
        <v>0.1</v>
      </c>
      <c r="C51" s="36">
        <f>'FOUND DATA'!D54</f>
        <v>0</v>
      </c>
      <c r="D51" s="35">
        <f>'FOUND DATA'!E54</f>
        <v>0</v>
      </c>
      <c r="E51" s="36">
        <f>'FOUND DATA'!F54</f>
        <v>1</v>
      </c>
      <c r="F51" s="35">
        <f>'FOUND DATA'!G54</f>
        <v>0.45</v>
      </c>
      <c r="G51" s="36">
        <f>'FOUND DATA'!H54</f>
        <v>2</v>
      </c>
      <c r="H51" s="35">
        <f>'FOUND DATA'!I54</f>
        <v>0.4</v>
      </c>
    </row>
    <row r="52">
      <c r="A52" s="36">
        <f>'FOUND DATA'!B55</f>
        <v>12</v>
      </c>
      <c r="B52" s="35">
        <f>'FOUND DATA'!C55</f>
        <v>0.65</v>
      </c>
      <c r="C52" s="36">
        <f>'FOUND DATA'!D55</f>
        <v>3</v>
      </c>
      <c r="D52" s="35">
        <f>'FOUND DATA'!E55</f>
        <v>0.15</v>
      </c>
      <c r="E52" s="36">
        <f>'FOUND DATA'!F55</f>
        <v>0</v>
      </c>
      <c r="F52" s="35">
        <f>'FOUND DATA'!G55</f>
        <v>0</v>
      </c>
      <c r="G52" s="36">
        <f>'FOUND DATA'!H55</f>
        <v>0</v>
      </c>
      <c r="H52" s="35">
        <f>'FOUND DATA'!I55</f>
        <v>0</v>
      </c>
    </row>
    <row r="53">
      <c r="A53" s="36">
        <f>'FOUND DATA'!B56</f>
        <v>7</v>
      </c>
      <c r="B53" s="35">
        <f>'FOUND DATA'!C56</f>
        <v>0.15</v>
      </c>
      <c r="C53" s="36">
        <f>'FOUND DATA'!D56</f>
        <v>0</v>
      </c>
      <c r="D53" s="35">
        <f>'FOUND DATA'!E56</f>
        <v>0</v>
      </c>
      <c r="E53" s="36">
        <f>'FOUND DATA'!F56</f>
        <v>1</v>
      </c>
      <c r="F53" s="35">
        <f>'FOUND DATA'!G56</f>
        <v>0.35</v>
      </c>
      <c r="G53" s="36">
        <f>'FOUND DATA'!H56</f>
        <v>0</v>
      </c>
      <c r="H53" s="35">
        <f>'FOUND DATA'!I56</f>
        <v>0</v>
      </c>
    </row>
    <row r="54">
      <c r="A54" s="36">
        <f>'FOUND DATA'!B57</f>
        <v>12</v>
      </c>
      <c r="B54" s="35">
        <f>'FOUND DATA'!C57</f>
        <v>0.15</v>
      </c>
      <c r="C54" s="36">
        <f>'FOUND DATA'!D57</f>
        <v>0</v>
      </c>
      <c r="D54" s="35">
        <f>'FOUND DATA'!E57</f>
        <v>0</v>
      </c>
      <c r="E54" s="36">
        <f>'FOUND DATA'!F57</f>
        <v>1</v>
      </c>
      <c r="F54" s="35">
        <f>'FOUND DATA'!G57</f>
        <v>0.3</v>
      </c>
      <c r="G54" s="36">
        <f>'FOUND DATA'!H57</f>
        <v>2</v>
      </c>
      <c r="H54" s="35">
        <f>'FOUND DATA'!I57</f>
        <v>0.5</v>
      </c>
    </row>
    <row r="55">
      <c r="A55" s="36">
        <f>'FOUND DATA'!B58</f>
        <v>12</v>
      </c>
      <c r="B55" s="35">
        <f>'FOUND DATA'!C58</f>
        <v>0.2</v>
      </c>
      <c r="C55" s="36">
        <f>'FOUND DATA'!D58</f>
        <v>0</v>
      </c>
      <c r="D55" s="35">
        <f>'FOUND DATA'!E58</f>
        <v>0</v>
      </c>
      <c r="E55" s="36">
        <f>'FOUND DATA'!F58</f>
        <v>1</v>
      </c>
      <c r="F55" s="35">
        <f>'FOUND DATA'!G58</f>
        <v>0.4</v>
      </c>
      <c r="G55" s="36">
        <f>'FOUND DATA'!H58</f>
        <v>2</v>
      </c>
      <c r="H55" s="35">
        <f>'FOUND DATA'!I58</f>
        <v>0.4</v>
      </c>
    </row>
    <row r="56">
      <c r="A56" s="36">
        <f>'FOUND DATA'!B59</f>
        <v>9</v>
      </c>
      <c r="B56" s="35">
        <f>'FOUND DATA'!C59</f>
        <v>0.1</v>
      </c>
      <c r="C56" s="36">
        <f>'FOUND DATA'!D59</f>
        <v>0</v>
      </c>
      <c r="D56" s="35">
        <f>'FOUND DATA'!E59</f>
        <v>0</v>
      </c>
      <c r="E56" s="36">
        <f>'FOUND DATA'!F59</f>
        <v>1</v>
      </c>
      <c r="F56" s="35">
        <f>'FOUND DATA'!G59</f>
        <v>0.4</v>
      </c>
      <c r="G56" s="36">
        <f>'FOUND DATA'!H59</f>
        <v>2</v>
      </c>
      <c r="H56" s="35">
        <f>'FOUND DATA'!I59</f>
        <v>0.5</v>
      </c>
    </row>
    <row r="57">
      <c r="A57" s="36">
        <f>'FOUND DATA'!B60</f>
        <v>9</v>
      </c>
      <c r="B57" s="35">
        <f>'FOUND DATA'!C60</f>
        <v>0.1</v>
      </c>
      <c r="C57" s="36">
        <f>'FOUND DATA'!D60</f>
        <v>0</v>
      </c>
      <c r="D57" s="35">
        <f>'FOUND DATA'!E60</f>
        <v>0</v>
      </c>
      <c r="E57" s="36">
        <f>'FOUND DATA'!F60</f>
        <v>1</v>
      </c>
      <c r="F57" s="35">
        <f>'FOUND DATA'!G60</f>
        <v>0.4</v>
      </c>
      <c r="G57" s="36">
        <f>'FOUND DATA'!H60</f>
        <v>2</v>
      </c>
      <c r="H57" s="35">
        <f>'FOUND DATA'!I60</f>
        <v>0.5</v>
      </c>
    </row>
    <row r="58">
      <c r="A58" s="36">
        <f>'FOUND DATA'!B61</f>
        <v>7</v>
      </c>
      <c r="B58" s="35">
        <f>'FOUND DATA'!C61</f>
        <v>0.1</v>
      </c>
      <c r="C58" s="36">
        <f>'FOUND DATA'!D61</f>
        <v>0</v>
      </c>
      <c r="D58" s="35">
        <f>'FOUND DATA'!E61</f>
        <v>0</v>
      </c>
      <c r="E58" s="36">
        <f>'FOUND DATA'!F61</f>
        <v>1</v>
      </c>
      <c r="F58" s="35">
        <f>'FOUND DATA'!G61</f>
        <v>0.3</v>
      </c>
      <c r="G58" s="36">
        <f>'FOUND DATA'!H61</f>
        <v>2</v>
      </c>
      <c r="H58" s="35">
        <f>'FOUND DATA'!I61</f>
        <v>0.5</v>
      </c>
    </row>
    <row r="59">
      <c r="A59" s="36">
        <f>'FOUND DATA'!B62</f>
        <v>10</v>
      </c>
      <c r="B59" s="35">
        <f>'FOUND DATA'!C62</f>
        <v>0.2</v>
      </c>
      <c r="C59" s="36">
        <f>'FOUND DATA'!D62</f>
        <v>1</v>
      </c>
      <c r="D59" s="35">
        <f>'FOUND DATA'!E62</f>
        <v>0.1</v>
      </c>
      <c r="E59" s="36">
        <f>'FOUND DATA'!F62</f>
        <v>1</v>
      </c>
      <c r="F59" s="35">
        <f>'FOUND DATA'!G62</f>
        <v>0.3</v>
      </c>
      <c r="G59" s="36">
        <f>'FOUND DATA'!H62</f>
        <v>2</v>
      </c>
      <c r="H59" s="35">
        <f>'FOUND DATA'!I62</f>
        <v>0.35</v>
      </c>
    </row>
    <row r="60">
      <c r="A60" s="36">
        <f>'FOUND DATA'!B63</f>
        <v>10</v>
      </c>
      <c r="B60" s="35">
        <f>'FOUND DATA'!C63</f>
        <v>0.2</v>
      </c>
      <c r="C60" s="36">
        <f>'FOUND DATA'!D63</f>
        <v>1</v>
      </c>
      <c r="D60" s="35">
        <f>'FOUND DATA'!E63</f>
        <v>0.1</v>
      </c>
      <c r="E60" s="36">
        <f>'FOUND DATA'!F63</f>
        <v>1</v>
      </c>
      <c r="F60" s="35">
        <f>'FOUND DATA'!G63</f>
        <v>0.3</v>
      </c>
      <c r="G60" s="36">
        <f>'FOUND DATA'!H63</f>
        <v>2</v>
      </c>
      <c r="H60" s="35">
        <f>'FOUND DATA'!I63</f>
        <v>0.35</v>
      </c>
    </row>
    <row r="61">
      <c r="A61" s="36">
        <f>'FOUND DATA'!B64</f>
        <v>9</v>
      </c>
      <c r="B61" s="35">
        <f>'FOUND DATA'!C64</f>
        <v>0.075</v>
      </c>
      <c r="C61" s="36">
        <f>'FOUND DATA'!D64</f>
        <v>1</v>
      </c>
      <c r="D61" s="35">
        <f>'FOUND DATA'!E64</f>
        <v>0.4</v>
      </c>
      <c r="E61" s="36">
        <f>'FOUND DATA'!F64</f>
        <v>0</v>
      </c>
      <c r="F61" s="35">
        <f>'FOUND DATA'!G64</f>
        <v>0</v>
      </c>
      <c r="G61" s="36">
        <f>'FOUND DATA'!H64</f>
        <v>2</v>
      </c>
      <c r="H61" s="35">
        <f>'FOUND DATA'!I64</f>
        <v>0.45</v>
      </c>
    </row>
    <row r="62">
      <c r="A62" s="36">
        <f>'FOUND DATA'!B65</f>
        <v>13</v>
      </c>
      <c r="B62" s="35">
        <f>'FOUND DATA'!C65</f>
        <v>0.2</v>
      </c>
      <c r="C62" s="36">
        <f>'FOUND DATA'!D65</f>
        <v>0</v>
      </c>
      <c r="D62" s="35">
        <f>'FOUND DATA'!E65</f>
        <v>0</v>
      </c>
      <c r="E62" s="36">
        <f>'FOUND DATA'!F65</f>
        <v>1</v>
      </c>
      <c r="F62" s="35">
        <f>'FOUND DATA'!G65</f>
        <v>0.35</v>
      </c>
      <c r="G62" s="36">
        <f>'FOUND DATA'!H65</f>
        <v>3</v>
      </c>
      <c r="H62" s="35">
        <f>'FOUND DATA'!I65</f>
        <v>0.45</v>
      </c>
    </row>
    <row r="63">
      <c r="A63" s="36">
        <f>'FOUND DATA'!B66</f>
        <v>0</v>
      </c>
      <c r="B63" s="35">
        <f>'FOUND DATA'!C66</f>
        <v>0</v>
      </c>
      <c r="C63" s="36">
        <f>'FOUND DATA'!D66</f>
        <v>0</v>
      </c>
      <c r="D63" s="35">
        <f>'FOUND DATA'!E66</f>
        <v>0</v>
      </c>
      <c r="E63" s="36">
        <f>'FOUND DATA'!F66</f>
        <v>1</v>
      </c>
      <c r="F63" s="35">
        <f>'FOUND DATA'!G66</f>
        <v>0.3</v>
      </c>
      <c r="G63" s="36">
        <f>'FOUND DATA'!H66</f>
        <v>2</v>
      </c>
      <c r="H63" s="35">
        <f>'FOUND DATA'!I66</f>
        <v>0.5</v>
      </c>
    </row>
    <row r="64">
      <c r="A64" s="36">
        <f>'FOUND DATA'!B67</f>
        <v>0</v>
      </c>
      <c r="B64" s="35">
        <f>'FOUND DATA'!C67</f>
        <v>0</v>
      </c>
      <c r="C64" s="36">
        <f>'FOUND DATA'!D67</f>
        <v>0</v>
      </c>
      <c r="D64" s="35">
        <f>'FOUND DATA'!E67</f>
        <v>0</v>
      </c>
      <c r="E64" s="36">
        <f>'FOUND DATA'!F67</f>
        <v>1</v>
      </c>
      <c r="F64" s="35">
        <f>'FOUND DATA'!G67</f>
        <v>0.35</v>
      </c>
      <c r="G64" s="36">
        <f>'FOUND DATA'!H67</f>
        <v>2</v>
      </c>
      <c r="H64" s="35">
        <f>'FOUND DATA'!I67</f>
        <v>0.5</v>
      </c>
    </row>
    <row r="65">
      <c r="A65" s="36">
        <f>'FOUND DATA'!B68</f>
        <v>11</v>
      </c>
      <c r="B65" s="35">
        <f>'FOUND DATA'!C68</f>
        <v>0.1</v>
      </c>
      <c r="C65" s="36">
        <f>'FOUND DATA'!D68</f>
        <v>0</v>
      </c>
      <c r="D65" s="35">
        <f>'FOUND DATA'!E68</f>
        <v>0</v>
      </c>
      <c r="E65" s="36">
        <f>'FOUND DATA'!F68</f>
        <v>1</v>
      </c>
      <c r="F65" s="35">
        <f>'FOUND DATA'!G68</f>
        <v>0.3</v>
      </c>
      <c r="G65" s="36">
        <f>'FOUND DATA'!H68</f>
        <v>3</v>
      </c>
      <c r="H65" s="35">
        <f>'FOUND DATA'!I68</f>
        <v>0.5</v>
      </c>
    </row>
    <row r="66">
      <c r="A66" s="36">
        <f>'FOUND DATA'!B69</f>
        <v>10</v>
      </c>
      <c r="B66" s="35">
        <f>'FOUND DATA'!C69</f>
        <v>0.15</v>
      </c>
      <c r="C66" s="36">
        <f>'FOUND DATA'!D69</f>
        <v>0</v>
      </c>
      <c r="D66" s="35">
        <f>'FOUND DATA'!E69</f>
        <v>0</v>
      </c>
      <c r="E66" s="36">
        <f>'FOUND DATA'!F69</f>
        <v>1</v>
      </c>
      <c r="F66" s="35">
        <f>'FOUND DATA'!G69</f>
        <v>0.3</v>
      </c>
      <c r="G66" s="36">
        <f>'FOUND DATA'!H69</f>
        <v>2</v>
      </c>
      <c r="H66" s="35">
        <f>'FOUND DATA'!I69</f>
        <v>0.4</v>
      </c>
    </row>
    <row r="67">
      <c r="A67" s="36">
        <f>'FOUND DATA'!B70</f>
        <v>12</v>
      </c>
      <c r="B67" s="35">
        <f>'FOUND DATA'!C70</f>
        <v>0.15</v>
      </c>
      <c r="C67" s="36">
        <f>'FOUND DATA'!D70</f>
        <v>0</v>
      </c>
      <c r="D67" s="35">
        <f>'FOUND DATA'!E70</f>
        <v>0</v>
      </c>
      <c r="E67" s="36">
        <f>'FOUND DATA'!F70</f>
        <v>1</v>
      </c>
      <c r="F67" s="35">
        <f>'FOUND DATA'!G70</f>
        <v>0.35</v>
      </c>
      <c r="G67" s="36">
        <f>'FOUND DATA'!H70</f>
        <v>2</v>
      </c>
      <c r="H67" s="35">
        <f>'FOUND DATA'!I70</f>
        <v>0.5</v>
      </c>
    </row>
    <row r="68">
      <c r="A68" s="36">
        <f>'FOUND DATA'!B71</f>
        <v>0</v>
      </c>
      <c r="B68" s="35">
        <f>'FOUND DATA'!C71</f>
        <v>0</v>
      </c>
      <c r="C68" s="36">
        <f>'FOUND DATA'!D71</f>
        <v>0</v>
      </c>
      <c r="D68" s="35">
        <f>'FOUND DATA'!E71</f>
        <v>0</v>
      </c>
      <c r="E68" s="36">
        <f>'FOUND DATA'!F71</f>
        <v>1</v>
      </c>
      <c r="F68" s="35">
        <f>'FOUND DATA'!G71</f>
        <v>0.3</v>
      </c>
      <c r="G68" s="36">
        <f>'FOUND DATA'!H71</f>
        <v>2</v>
      </c>
      <c r="H68" s="35">
        <f>'FOUND DATA'!I71</f>
        <v>0.5</v>
      </c>
    </row>
    <row r="69">
      <c r="A69" s="36">
        <f>'FOUND DATA'!B72</f>
        <v>12</v>
      </c>
      <c r="B69" s="35">
        <f>'FOUND DATA'!C72</f>
        <v>0.1</v>
      </c>
      <c r="C69" s="36">
        <f>'FOUND DATA'!D72</f>
        <v>3</v>
      </c>
      <c r="D69" s="35">
        <f>'FOUND DATA'!E72</f>
        <v>0.15</v>
      </c>
      <c r="E69" s="36">
        <f>'FOUND DATA'!F72</f>
        <v>1</v>
      </c>
      <c r="F69" s="35">
        <f>'FOUND DATA'!G72</f>
        <v>0.25</v>
      </c>
      <c r="G69" s="36">
        <f>'FOUND DATA'!H72</f>
        <v>2</v>
      </c>
      <c r="H69" s="35">
        <f>'FOUND DATA'!I72</f>
        <v>0.4</v>
      </c>
    </row>
    <row r="70">
      <c r="A70" s="36">
        <f>'FOUND DATA'!B73</f>
        <v>12</v>
      </c>
      <c r="B70" s="35">
        <f>'FOUND DATA'!C73</f>
        <v>0.2</v>
      </c>
      <c r="C70" s="36">
        <f>'FOUND DATA'!D73</f>
        <v>0</v>
      </c>
      <c r="D70" s="35">
        <f>'FOUND DATA'!E73</f>
        <v>0</v>
      </c>
      <c r="E70" s="36">
        <f>'FOUND DATA'!F73</f>
        <v>1</v>
      </c>
      <c r="F70" s="35">
        <f>'FOUND DATA'!G73</f>
        <v>0.35</v>
      </c>
      <c r="G70" s="36">
        <f>'FOUND DATA'!H73</f>
        <v>3</v>
      </c>
      <c r="H70" s="35">
        <f>'FOUND DATA'!I73</f>
        <v>0.45</v>
      </c>
    </row>
    <row r="71">
      <c r="A71" s="36">
        <f>'FOUND DATA'!B74</f>
        <v>0</v>
      </c>
      <c r="B71" s="35">
        <f>'FOUND DATA'!C74</f>
        <v>0</v>
      </c>
      <c r="C71" s="36">
        <f>'FOUND DATA'!D74</f>
        <v>0</v>
      </c>
      <c r="D71" s="35">
        <f>'FOUND DATA'!E74</f>
        <v>0</v>
      </c>
      <c r="E71" s="36">
        <f>'FOUND DATA'!F74</f>
        <v>1</v>
      </c>
      <c r="F71" s="35">
        <f>'FOUND DATA'!G74</f>
        <v>0.3</v>
      </c>
      <c r="G71" s="36">
        <f>'FOUND DATA'!H74</f>
        <v>2</v>
      </c>
      <c r="H71" s="35">
        <f>'FOUND DATA'!I74</f>
        <v>0.5</v>
      </c>
    </row>
    <row r="72">
      <c r="A72" s="36">
        <f>'FOUND DATA'!B75</f>
        <v>11</v>
      </c>
      <c r="B72" s="35">
        <f>'FOUND DATA'!C75</f>
        <v>0.1</v>
      </c>
      <c r="C72" s="36">
        <f>'FOUND DATA'!D75</f>
        <v>0</v>
      </c>
      <c r="D72" s="35">
        <f>'FOUND DATA'!E75</f>
        <v>0</v>
      </c>
      <c r="E72" s="36">
        <f>'FOUND DATA'!F75</f>
        <v>1</v>
      </c>
      <c r="F72" s="35">
        <f>'FOUND DATA'!G75</f>
        <v>0.3</v>
      </c>
      <c r="G72" s="36">
        <f>'FOUND DATA'!H75</f>
        <v>3</v>
      </c>
      <c r="H72" s="35">
        <f>'FOUND DATA'!I75</f>
        <v>0.5</v>
      </c>
    </row>
    <row r="73">
      <c r="A73" s="36">
        <f>'FOUND DATA'!B76</f>
        <v>21</v>
      </c>
      <c r="B73" s="35">
        <f>'FOUND DATA'!C76</f>
        <v>0.4</v>
      </c>
      <c r="C73" s="36">
        <f>'FOUND DATA'!D76</f>
        <v>0</v>
      </c>
      <c r="D73" s="35">
        <f>'FOUND DATA'!E76</f>
        <v>0</v>
      </c>
      <c r="E73" s="36">
        <f>'FOUND DATA'!F76</f>
        <v>0</v>
      </c>
      <c r="F73" s="35">
        <f>'FOUND DATA'!G76</f>
        <v>0</v>
      </c>
      <c r="G73" s="36">
        <f>'FOUND DATA'!H76</f>
        <v>3</v>
      </c>
      <c r="H73" s="35">
        <f>'FOUND DATA'!I76</f>
        <v>0.55</v>
      </c>
    </row>
    <row r="74">
      <c r="A74" s="36">
        <f>'FOUND DATA'!B77</f>
        <v>9</v>
      </c>
      <c r="B74" s="35">
        <f>'FOUND DATA'!C77</f>
        <v>0.1</v>
      </c>
      <c r="C74" s="36">
        <f>'FOUND DATA'!D77</f>
        <v>0</v>
      </c>
      <c r="D74" s="35">
        <f>'FOUND DATA'!E77</f>
        <v>0</v>
      </c>
      <c r="E74" s="36">
        <f>'FOUND DATA'!F77</f>
        <v>1</v>
      </c>
      <c r="F74" s="35">
        <f>'FOUND DATA'!G77</f>
        <v>0.4</v>
      </c>
      <c r="G74" s="36">
        <f>'FOUND DATA'!H77</f>
        <v>2</v>
      </c>
      <c r="H74" s="35">
        <f>'FOUND DATA'!I77</f>
        <v>0.45</v>
      </c>
    </row>
    <row r="75">
      <c r="A75" s="36">
        <f>'FOUND DATA'!B78</f>
        <v>12</v>
      </c>
      <c r="B75" s="35">
        <f>'FOUND DATA'!C78</f>
        <v>0.1</v>
      </c>
      <c r="C75" s="36">
        <f>'FOUND DATA'!D78</f>
        <v>3</v>
      </c>
      <c r="D75" s="35">
        <f>'FOUND DATA'!E78</f>
        <v>0.15</v>
      </c>
      <c r="E75" s="36">
        <f>'FOUND DATA'!F78</f>
        <v>1</v>
      </c>
      <c r="F75" s="35">
        <f>'FOUND DATA'!G78</f>
        <v>0.25</v>
      </c>
      <c r="G75" s="36">
        <f>'FOUND DATA'!H78</f>
        <v>2</v>
      </c>
      <c r="H75" s="35">
        <f>'FOUND DATA'!I78</f>
        <v>0.4</v>
      </c>
    </row>
    <row r="76">
      <c r="A76" s="36">
        <f>'FOUND DATA'!B79</f>
        <v>21</v>
      </c>
      <c r="B76" s="35">
        <f>'FOUND DATA'!C79</f>
        <v>0.4</v>
      </c>
      <c r="C76" s="36">
        <f>'FOUND DATA'!D79</f>
        <v>0</v>
      </c>
      <c r="D76" s="35">
        <f>'FOUND DATA'!E79</f>
        <v>0</v>
      </c>
      <c r="E76" s="36">
        <f>'FOUND DATA'!F79</f>
        <v>0</v>
      </c>
      <c r="F76" s="35">
        <f>'FOUND DATA'!G79</f>
        <v>0</v>
      </c>
      <c r="G76" s="36">
        <f>'FOUND DATA'!H79</f>
        <v>3</v>
      </c>
      <c r="H76" s="35">
        <f>'FOUND DATA'!I79</f>
        <v>0.55</v>
      </c>
    </row>
    <row r="77">
      <c r="A77" s="36">
        <f>'FOUND DATA'!B80</f>
        <v>12</v>
      </c>
      <c r="B77" s="35">
        <f>'FOUND DATA'!C80</f>
        <v>0.15</v>
      </c>
      <c r="C77" s="36">
        <f>'FOUND DATA'!D80</f>
        <v>0</v>
      </c>
      <c r="D77" s="35">
        <f>'FOUND DATA'!E80</f>
        <v>0</v>
      </c>
      <c r="E77" s="36">
        <f>'FOUND DATA'!F80</f>
        <v>1</v>
      </c>
      <c r="F77" s="35">
        <f>'FOUND DATA'!G80</f>
        <v>0.35</v>
      </c>
      <c r="G77" s="36">
        <f>'FOUND DATA'!H80</f>
        <v>3</v>
      </c>
      <c r="H77" s="35">
        <f>'FOUND DATA'!I80</f>
        <v>0.45</v>
      </c>
    </row>
    <row r="78">
      <c r="A78" s="36">
        <f>'FOUND DATA'!B81</f>
        <v>10</v>
      </c>
      <c r="B78" s="35">
        <f>'FOUND DATA'!C81</f>
        <v>0.15</v>
      </c>
      <c r="C78" s="36">
        <f>'FOUND DATA'!D81</f>
        <v>0</v>
      </c>
      <c r="D78" s="35">
        <f>'FOUND DATA'!E81</f>
        <v>0</v>
      </c>
      <c r="E78" s="36">
        <f>'FOUND DATA'!F81</f>
        <v>1</v>
      </c>
      <c r="F78" s="35">
        <f>'FOUND DATA'!G81</f>
        <v>0.3</v>
      </c>
      <c r="G78" s="36">
        <f>'FOUND DATA'!H81</f>
        <v>2</v>
      </c>
      <c r="H78" s="35">
        <f>'FOUND DATA'!I81</f>
        <v>0.4</v>
      </c>
    </row>
    <row r="79">
      <c r="A79" s="36">
        <f>'FOUND DATA'!B82</f>
        <v>10</v>
      </c>
      <c r="B79" s="35">
        <f>'FOUND DATA'!C82</f>
        <v>0.1</v>
      </c>
      <c r="C79" s="36">
        <f>'FOUND DATA'!D82</f>
        <v>0</v>
      </c>
      <c r="D79" s="35">
        <f>'FOUND DATA'!E82</f>
        <v>0</v>
      </c>
      <c r="E79" s="36">
        <f>'FOUND DATA'!F82</f>
        <v>1</v>
      </c>
      <c r="F79" s="35">
        <f>'FOUND DATA'!G82</f>
        <v>0.35</v>
      </c>
      <c r="G79" s="36">
        <f>'FOUND DATA'!H82</f>
        <v>2</v>
      </c>
      <c r="H79" s="35">
        <f>'FOUND DATA'!I82</f>
        <v>0.4</v>
      </c>
    </row>
    <row r="80">
      <c r="A80" s="36">
        <f>'FOUND DATA'!B83</f>
        <v>38</v>
      </c>
      <c r="B80" s="35">
        <f>'FOUND DATA'!C83</f>
        <v>0.49</v>
      </c>
      <c r="C80" s="36">
        <f>'FOUND DATA'!D83</f>
        <v>2</v>
      </c>
      <c r="D80" s="35">
        <f>'FOUND DATA'!E83</f>
        <v>0.51</v>
      </c>
      <c r="E80" s="36">
        <f>'FOUND DATA'!F83</f>
        <v>0</v>
      </c>
      <c r="F80" s="35">
        <f>'FOUND DATA'!G83</f>
        <v>0</v>
      </c>
      <c r="G80" s="36">
        <f>'FOUND DATA'!H83</f>
        <v>0</v>
      </c>
      <c r="H80" s="35">
        <f>'FOUND DATA'!I83</f>
        <v>0</v>
      </c>
    </row>
    <row r="81">
      <c r="A81" s="36">
        <f>'FOUND DATA'!B84</f>
        <v>6</v>
      </c>
      <c r="B81" s="35">
        <f>'FOUND DATA'!C84</f>
        <v>0.15</v>
      </c>
      <c r="C81" s="36">
        <f>'FOUND DATA'!D84</f>
        <v>2</v>
      </c>
      <c r="D81" s="35">
        <f>'FOUND DATA'!E84</f>
        <v>0.25</v>
      </c>
      <c r="E81" s="36">
        <f>'FOUND DATA'!F84</f>
        <v>0</v>
      </c>
      <c r="F81" s="35">
        <f>'FOUND DATA'!G84</f>
        <v>0</v>
      </c>
      <c r="G81" s="36">
        <f>'FOUND DATA'!H84</f>
        <v>3</v>
      </c>
      <c r="H81" s="35">
        <f>'FOUND DATA'!I84</f>
        <v>0.6</v>
      </c>
    </row>
    <row r="82">
      <c r="A82" s="36">
        <f>'FOUND DATA'!B85</f>
        <v>5</v>
      </c>
      <c r="B82" s="35">
        <f>'FOUND DATA'!C85</f>
        <v>0.3</v>
      </c>
      <c r="C82" s="36">
        <f>'FOUND DATA'!D85</f>
        <v>4</v>
      </c>
      <c r="D82" s="35">
        <f>'FOUND DATA'!E85</f>
        <v>0.45</v>
      </c>
      <c r="E82" s="36">
        <f>'FOUND DATA'!F85</f>
        <v>0</v>
      </c>
      <c r="F82" s="35">
        <f>'FOUND DATA'!G85</f>
        <v>0</v>
      </c>
      <c r="G82" s="36">
        <f>'FOUND DATA'!H85</f>
        <v>0</v>
      </c>
      <c r="H82" s="35">
        <f>'FOUND DATA'!I85</f>
        <v>0</v>
      </c>
    </row>
    <row r="83">
      <c r="A83" s="36">
        <f>'FOUND DATA'!B86</f>
        <v>0</v>
      </c>
      <c r="B83" s="35">
        <f>'FOUND DATA'!C86</f>
        <v>0</v>
      </c>
      <c r="C83" s="36">
        <f>'FOUND DATA'!D86</f>
        <v>3</v>
      </c>
      <c r="D83" s="35">
        <f>'FOUND DATA'!E86</f>
        <v>1</v>
      </c>
      <c r="E83" s="36">
        <f>'FOUND DATA'!F86</f>
        <v>0</v>
      </c>
      <c r="F83" s="35">
        <f>'FOUND DATA'!G86</f>
        <v>0</v>
      </c>
      <c r="G83" s="36">
        <f>'FOUND DATA'!H86</f>
        <v>0</v>
      </c>
      <c r="H83" s="35">
        <f>'FOUND DATA'!I86</f>
        <v>0</v>
      </c>
    </row>
    <row r="84">
      <c r="A84" s="36">
        <f>'FOUND DATA'!B87</f>
        <v>12</v>
      </c>
      <c r="B84" s="35">
        <f>'FOUND DATA'!C87</f>
        <v>0.2</v>
      </c>
      <c r="C84" s="36">
        <f>'FOUND DATA'!D87</f>
        <v>1</v>
      </c>
      <c r="D84" s="35">
        <f>'FOUND DATA'!E87</f>
        <v>0.35</v>
      </c>
      <c r="E84" s="36">
        <f>'FOUND DATA'!F87</f>
        <v>0</v>
      </c>
      <c r="F84" s="35">
        <f>'FOUND DATA'!G87</f>
        <v>0</v>
      </c>
      <c r="G84" s="36">
        <f>'FOUND DATA'!H87</f>
        <v>0</v>
      </c>
      <c r="H84" s="35">
        <f>'FOUND DATA'!I87</f>
        <v>0</v>
      </c>
    </row>
    <row r="85">
      <c r="A85" s="36">
        <f>'FOUND DATA'!B88</f>
        <v>4</v>
      </c>
      <c r="B85" s="35">
        <f>'FOUND DATA'!C88</f>
        <v>0.4</v>
      </c>
      <c r="C85" s="36">
        <f>'FOUND DATA'!D88</f>
        <v>1</v>
      </c>
      <c r="D85" s="35">
        <f>'FOUND DATA'!E88</f>
        <v>0.2</v>
      </c>
      <c r="E85" s="36">
        <f>'FOUND DATA'!F88</f>
        <v>0</v>
      </c>
      <c r="F85" s="35">
        <f>'FOUND DATA'!G88</f>
        <v>0</v>
      </c>
      <c r="G85" s="36">
        <f>'FOUND DATA'!H88</f>
        <v>2</v>
      </c>
      <c r="H85" s="35">
        <f>'FOUND DATA'!I88</f>
        <v>0.4</v>
      </c>
    </row>
    <row r="86">
      <c r="A86" s="36">
        <f>'FOUND DATA'!B89</f>
        <v>12</v>
      </c>
      <c r="B86" s="35">
        <f>'FOUND DATA'!C89</f>
        <v>0.2</v>
      </c>
      <c r="C86" s="36">
        <f>'FOUND DATA'!D89</f>
        <v>1</v>
      </c>
      <c r="D86" s="35">
        <f>'FOUND DATA'!E89</f>
        <v>0.3</v>
      </c>
      <c r="E86" s="36">
        <f>'FOUND DATA'!F89</f>
        <v>0</v>
      </c>
      <c r="F86" s="35">
        <f>'FOUND DATA'!G89</f>
        <v>0</v>
      </c>
      <c r="G86" s="36">
        <f>'FOUND DATA'!H89</f>
        <v>2</v>
      </c>
      <c r="H86" s="35">
        <f>'FOUND DATA'!I89</f>
        <v>0.5</v>
      </c>
    </row>
    <row r="87">
      <c r="A87" s="36">
        <f>'FOUND DATA'!B90</f>
        <v>12</v>
      </c>
      <c r="B87" s="35">
        <f>'FOUND DATA'!C90</f>
        <v>0.15</v>
      </c>
      <c r="C87" s="36">
        <f>'FOUND DATA'!D90</f>
        <v>0</v>
      </c>
      <c r="D87" s="35">
        <f>'FOUND DATA'!E90</f>
        <v>0</v>
      </c>
      <c r="E87" s="36">
        <f>'FOUND DATA'!F90</f>
        <v>1</v>
      </c>
      <c r="F87" s="35">
        <f>'FOUND DATA'!G90</f>
        <v>0.2</v>
      </c>
      <c r="G87" s="36">
        <f>'FOUND DATA'!H90</f>
        <v>3</v>
      </c>
      <c r="H87" s="35">
        <f>'FOUND DATA'!I90</f>
        <v>0.6</v>
      </c>
    </row>
    <row r="88">
      <c r="A88" s="36">
        <f>'FOUND DATA'!B91</f>
        <v>14</v>
      </c>
      <c r="B88" s="35">
        <f>'FOUND DATA'!C91</f>
        <v>0.2</v>
      </c>
      <c r="C88" s="36">
        <f>'FOUND DATA'!D91</f>
        <v>1</v>
      </c>
      <c r="D88" s="35">
        <f>'FOUND DATA'!E91</f>
        <v>0.1</v>
      </c>
      <c r="E88" s="36">
        <f>'FOUND DATA'!F91</f>
        <v>1</v>
      </c>
      <c r="F88" s="35">
        <f>'FOUND DATA'!G91</f>
        <v>0.3</v>
      </c>
      <c r="G88" s="36">
        <f>'FOUND DATA'!H91</f>
        <v>2</v>
      </c>
      <c r="H88" s="35">
        <f>'FOUND DATA'!I91</f>
        <v>0.35</v>
      </c>
    </row>
    <row r="89">
      <c r="A89" s="36">
        <f>'FOUND DATA'!B92</f>
        <v>5</v>
      </c>
      <c r="B89" s="35">
        <f>'FOUND DATA'!C92</f>
        <v>0.5</v>
      </c>
      <c r="C89" s="36">
        <f>'FOUND DATA'!D92</f>
        <v>4</v>
      </c>
      <c r="D89" s="35">
        <f>'FOUND DATA'!E92</f>
        <v>0.4</v>
      </c>
      <c r="E89" s="36">
        <f>'FOUND DATA'!F92</f>
        <v>0</v>
      </c>
      <c r="F89" s="35">
        <f>'FOUND DATA'!G92</f>
        <v>0</v>
      </c>
      <c r="G89" s="36">
        <f>'FOUND DATA'!H92</f>
        <v>0</v>
      </c>
      <c r="H89" s="35">
        <f>'FOUND DATA'!I92</f>
        <v>0</v>
      </c>
    </row>
    <row r="90">
      <c r="A90" s="36">
        <f>'FOUND DATA'!B93</f>
        <v>0</v>
      </c>
      <c r="B90" s="35">
        <f>'FOUND DATA'!C93</f>
        <v>0</v>
      </c>
      <c r="C90" s="36">
        <f>'FOUND DATA'!D93</f>
        <v>1</v>
      </c>
      <c r="D90" s="35">
        <f>'FOUND DATA'!E93</f>
        <v>0.5</v>
      </c>
      <c r="E90" s="36">
        <f>'FOUND DATA'!F93</f>
        <v>0</v>
      </c>
      <c r="F90" s="35">
        <f>'FOUND DATA'!G93</f>
        <v>0</v>
      </c>
      <c r="G90" s="36">
        <f>'FOUND DATA'!H93</f>
        <v>2</v>
      </c>
      <c r="H90" s="35">
        <f>'FOUND DATA'!I93</f>
        <v>0.4</v>
      </c>
    </row>
    <row r="91">
      <c r="A91" s="36">
        <f>'FOUND DATA'!B94</f>
        <v>13</v>
      </c>
      <c r="B91" s="35">
        <f>'FOUND DATA'!C94</f>
        <v>0.2</v>
      </c>
      <c r="C91" s="36">
        <f>'FOUND DATA'!D94</f>
        <v>3</v>
      </c>
      <c r="D91" s="35">
        <f>'FOUND DATA'!E94</f>
        <v>0.55</v>
      </c>
      <c r="E91" s="36">
        <f>'FOUND DATA'!F94</f>
        <v>0</v>
      </c>
      <c r="F91" s="35">
        <f>'FOUND DATA'!G94</f>
        <v>0</v>
      </c>
      <c r="G91" s="36">
        <f>'FOUND DATA'!H94</f>
        <v>3</v>
      </c>
      <c r="H91" s="35">
        <f>'FOUND DATA'!I94</f>
        <v>0.2</v>
      </c>
    </row>
    <row r="92">
      <c r="A92" s="36">
        <f>'FOUND DATA'!B95</f>
        <v>8</v>
      </c>
      <c r="B92" s="35">
        <f>'FOUND DATA'!C95</f>
        <v>0.14</v>
      </c>
      <c r="C92" s="36">
        <f>'FOUND DATA'!D95</f>
        <v>0</v>
      </c>
      <c r="D92" s="35">
        <f>'FOUND DATA'!E95</f>
        <v>0</v>
      </c>
      <c r="E92" s="36">
        <f>'FOUND DATA'!F95</f>
        <v>1</v>
      </c>
      <c r="F92" s="35">
        <f>'FOUND DATA'!G95</f>
        <v>0.25</v>
      </c>
      <c r="G92" s="36">
        <f>'FOUND DATA'!H95</f>
        <v>3</v>
      </c>
      <c r="H92" s="35">
        <f>'FOUND DATA'!I95</f>
        <v>0.45</v>
      </c>
    </row>
    <row r="93">
      <c r="A93" s="36">
        <f>'FOUND DATA'!B96</f>
        <v>12</v>
      </c>
      <c r="B93" s="35">
        <f>'FOUND DATA'!C96</f>
        <v>0.05</v>
      </c>
      <c r="C93" s="36">
        <f>'FOUND DATA'!D96</f>
        <v>0</v>
      </c>
      <c r="D93" s="35">
        <f>'FOUND DATA'!E96</f>
        <v>0</v>
      </c>
      <c r="E93" s="36">
        <f>'FOUND DATA'!F96</f>
        <v>1</v>
      </c>
      <c r="F93" s="35">
        <f>'FOUND DATA'!G96</f>
        <v>0.3</v>
      </c>
      <c r="G93" s="36">
        <f>'FOUND DATA'!H96</f>
        <v>3</v>
      </c>
      <c r="H93" s="35">
        <f>'FOUND DATA'!I96</f>
        <v>0.55</v>
      </c>
    </row>
    <row r="94">
      <c r="A94" s="36">
        <f>'FOUND DATA'!B97</f>
        <v>9</v>
      </c>
      <c r="B94" s="35">
        <f>'FOUND DATA'!C97</f>
        <v>0.27</v>
      </c>
      <c r="C94" s="36">
        <f>'FOUND DATA'!D97</f>
        <v>5</v>
      </c>
      <c r="D94" s="35">
        <f>'FOUND DATA'!E97</f>
        <v>0.49</v>
      </c>
      <c r="E94" s="36">
        <f>'FOUND DATA'!F97</f>
        <v>0</v>
      </c>
      <c r="F94" s="35">
        <f>'FOUND DATA'!G97</f>
        <v>0</v>
      </c>
      <c r="G94" s="36">
        <f>'FOUND DATA'!H97</f>
        <v>0</v>
      </c>
      <c r="H94" s="35">
        <f>'FOUND DATA'!I97</f>
        <v>0</v>
      </c>
    </row>
    <row r="95">
      <c r="A95" s="36">
        <f>'FOUND DATA'!B98</f>
        <v>11</v>
      </c>
      <c r="B95" s="35">
        <f>'FOUND DATA'!C98</f>
        <v>0.2</v>
      </c>
      <c r="C95" s="36">
        <f>'FOUND DATA'!D98</f>
        <v>0</v>
      </c>
      <c r="D95" s="35">
        <f>'FOUND DATA'!E98</f>
        <v>0</v>
      </c>
      <c r="E95" s="36">
        <f>'FOUND DATA'!F98</f>
        <v>1</v>
      </c>
      <c r="F95" s="35">
        <f>'FOUND DATA'!G98</f>
        <v>0.4</v>
      </c>
      <c r="G95" s="36">
        <f>'FOUND DATA'!H98</f>
        <v>2</v>
      </c>
      <c r="H95" s="35">
        <f>'FOUND DATA'!I98</f>
        <v>0.4</v>
      </c>
    </row>
    <row r="96">
      <c r="A96" s="36">
        <f>'FOUND DATA'!B99</f>
        <v>12</v>
      </c>
      <c r="B96" s="35">
        <f>'FOUND DATA'!C99</f>
        <v>0.15</v>
      </c>
      <c r="C96" s="36">
        <f>'FOUND DATA'!D99</f>
        <v>3</v>
      </c>
      <c r="D96" s="35">
        <f>'FOUND DATA'!E99</f>
        <v>0.15</v>
      </c>
      <c r="E96" s="36">
        <f>'FOUND DATA'!F99</f>
        <v>1</v>
      </c>
      <c r="F96" s="35">
        <f>'FOUND DATA'!G99</f>
        <v>0.25</v>
      </c>
      <c r="G96" s="36">
        <f>'FOUND DATA'!H99</f>
        <v>3</v>
      </c>
      <c r="H96" s="35">
        <f>'FOUND DATA'!I99</f>
        <v>0.4</v>
      </c>
    </row>
    <row r="97">
      <c r="A97" s="36">
        <f>'FOUND DATA'!B100</f>
        <v>13</v>
      </c>
      <c r="B97" s="35">
        <f>'FOUND DATA'!C100</f>
        <v>0.2</v>
      </c>
      <c r="C97" s="36">
        <f>'FOUND DATA'!D100</f>
        <v>5</v>
      </c>
      <c r="D97" s="35">
        <f>'FOUND DATA'!E100</f>
        <v>0.5</v>
      </c>
      <c r="E97" s="36">
        <f>'FOUND DATA'!F100</f>
        <v>0</v>
      </c>
      <c r="F97" s="35">
        <f>'FOUND DATA'!G100</f>
        <v>0</v>
      </c>
      <c r="G97" s="36">
        <f>'FOUND DATA'!H100</f>
        <v>3</v>
      </c>
      <c r="H97" s="35">
        <f>'FOUND DATA'!I100</f>
        <v>0.2</v>
      </c>
    </row>
    <row r="98">
      <c r="A98" s="36">
        <f>'FOUND DATA'!B101</f>
        <v>14</v>
      </c>
      <c r="B98" s="35">
        <f>'FOUND DATA'!C101</f>
        <v>0.15</v>
      </c>
      <c r="C98" s="36">
        <f>'FOUND DATA'!D101</f>
        <v>0</v>
      </c>
      <c r="D98" s="35">
        <f>'FOUND DATA'!E101</f>
        <v>0</v>
      </c>
      <c r="E98" s="36">
        <f>'FOUND DATA'!F101</f>
        <v>1</v>
      </c>
      <c r="F98" s="35">
        <f>'FOUND DATA'!G101</f>
        <v>0.35</v>
      </c>
      <c r="G98" s="36">
        <f>'FOUND DATA'!H101</f>
        <v>2</v>
      </c>
      <c r="H98" s="35">
        <f>'FOUND DATA'!I101</f>
        <v>0.5</v>
      </c>
    </row>
    <row r="99">
      <c r="A99" s="36">
        <f>'FOUND DATA'!B102</f>
        <v>12</v>
      </c>
      <c r="B99" s="35">
        <f>'FOUND DATA'!C102</f>
        <v>0.2</v>
      </c>
      <c r="C99" s="36">
        <f>'FOUND DATA'!D102</f>
        <v>0</v>
      </c>
      <c r="D99" s="35">
        <f>'FOUND DATA'!E102</f>
        <v>0</v>
      </c>
      <c r="E99" s="36">
        <f>'FOUND DATA'!F102</f>
        <v>1</v>
      </c>
      <c r="F99" s="35">
        <f>'FOUND DATA'!G102</f>
        <v>0.2</v>
      </c>
      <c r="G99" s="36">
        <f>'FOUND DATA'!H102</f>
        <v>2</v>
      </c>
      <c r="H99" s="35">
        <f>'FOUND DATA'!I102</f>
        <v>0.3</v>
      </c>
    </row>
    <row r="100">
      <c r="A100" s="36">
        <f>'FOUND DATA'!B103</f>
        <v>12</v>
      </c>
      <c r="B100" s="35">
        <f>'FOUND DATA'!C103</f>
        <v>0.2</v>
      </c>
      <c r="C100" s="36">
        <f>'FOUND DATA'!D103</f>
        <v>0</v>
      </c>
      <c r="D100" s="35">
        <f>'FOUND DATA'!E103</f>
        <v>0</v>
      </c>
      <c r="E100" s="36">
        <f>'FOUND DATA'!F103</f>
        <v>1</v>
      </c>
      <c r="F100" s="35">
        <f>'FOUND DATA'!G103</f>
        <v>0.2</v>
      </c>
      <c r="G100" s="36">
        <f>'FOUND DATA'!H103</f>
        <v>2</v>
      </c>
      <c r="H100" s="35">
        <f>'FOUND DATA'!I103</f>
        <v>0.3</v>
      </c>
    </row>
    <row r="101">
      <c r="A101" s="36">
        <f>'FOUND DATA'!B104</f>
        <v>13</v>
      </c>
      <c r="B101" s="35">
        <f>'FOUND DATA'!C104</f>
        <v>0.1</v>
      </c>
      <c r="C101" s="36">
        <f>'FOUND DATA'!D104</f>
        <v>0</v>
      </c>
      <c r="D101" s="35">
        <f>'FOUND DATA'!E104</f>
        <v>0</v>
      </c>
      <c r="E101" s="36">
        <f>'FOUND DATA'!F104</f>
        <v>1</v>
      </c>
      <c r="F101" s="35">
        <f>'FOUND DATA'!G104</f>
        <v>0.25</v>
      </c>
      <c r="G101" s="36">
        <f>'FOUND DATA'!H104</f>
        <v>2</v>
      </c>
      <c r="H101" s="35">
        <f>'FOUND DATA'!I104</f>
        <v>0.5</v>
      </c>
    </row>
    <row r="102">
      <c r="A102" s="36">
        <f>'FOUND DATA'!B105</f>
        <v>9</v>
      </c>
      <c r="B102" s="35">
        <f>'FOUND DATA'!C105</f>
        <v>0.3</v>
      </c>
      <c r="C102" s="36">
        <f>'FOUND DATA'!D105</f>
        <v>1</v>
      </c>
      <c r="D102" s="35">
        <f>'FOUND DATA'!E105</f>
        <v>0.15</v>
      </c>
      <c r="E102" s="36">
        <f>'FOUND DATA'!F105</f>
        <v>1</v>
      </c>
      <c r="F102" s="35">
        <f>'FOUND DATA'!G105</f>
        <v>0.2</v>
      </c>
      <c r="G102" s="36">
        <f>'FOUND DATA'!H105</f>
        <v>2</v>
      </c>
      <c r="H102" s="35">
        <f>'FOUND DATA'!I105</f>
        <v>0.35</v>
      </c>
    </row>
    <row r="103">
      <c r="A103" s="36">
        <f>'FOUND DATA'!B106</f>
        <v>9</v>
      </c>
      <c r="B103" s="35">
        <f>'FOUND DATA'!C106</f>
        <v>0.3</v>
      </c>
      <c r="C103" s="36">
        <f>'FOUND DATA'!D106</f>
        <v>1</v>
      </c>
      <c r="D103" s="35">
        <f>'FOUND DATA'!E106</f>
        <v>0.15</v>
      </c>
      <c r="E103" s="36">
        <f>'FOUND DATA'!F106</f>
        <v>1</v>
      </c>
      <c r="F103" s="35">
        <f>'FOUND DATA'!G106</f>
        <v>0.2</v>
      </c>
      <c r="G103" s="36">
        <f>'FOUND DATA'!H106</f>
        <v>2</v>
      </c>
      <c r="H103" s="35">
        <f>'FOUND DATA'!I106</f>
        <v>0.35</v>
      </c>
    </row>
    <row r="104">
      <c r="A104" s="36">
        <f>'FOUND DATA'!B107</f>
        <v>9</v>
      </c>
      <c r="B104" s="35">
        <f>'FOUND DATA'!C107</f>
        <v>0.3</v>
      </c>
      <c r="C104" s="36">
        <f>'FOUND DATA'!D107</f>
        <v>1</v>
      </c>
      <c r="D104" s="35">
        <f>'FOUND DATA'!E107</f>
        <v>0.15</v>
      </c>
      <c r="E104" s="36">
        <f>'FOUND DATA'!F107</f>
        <v>1</v>
      </c>
      <c r="F104" s="35">
        <f>'FOUND DATA'!G107</f>
        <v>0.2</v>
      </c>
      <c r="G104" s="36">
        <f>'FOUND DATA'!H107</f>
        <v>2</v>
      </c>
      <c r="H104" s="35">
        <f>'FOUND DATA'!I107</f>
        <v>0.35</v>
      </c>
    </row>
    <row r="105">
      <c r="A105" s="36" t="str">
        <f>'FOUND DATA'!B108</f>
        <v>END</v>
      </c>
      <c r="B105" s="35" t="str">
        <f>'FOUND DATA'!C108</f>
        <v>END</v>
      </c>
      <c r="C105" s="35" t="str">
        <f>'FOUND DATA'!D108</f>
        <v>END</v>
      </c>
      <c r="D105" s="35" t="str">
        <f>'FOUND DATA'!E108</f>
        <v>END</v>
      </c>
      <c r="E105" s="35" t="str">
        <f>'FOUND DATA'!F108</f>
        <v>END</v>
      </c>
      <c r="F105" s="35" t="str">
        <f>'FOUND DATA'!G108</f>
        <v>END</v>
      </c>
      <c r="G105" s="35" t="str">
        <f>'FOUND DATA'!H108</f>
        <v>END</v>
      </c>
      <c r="H105" s="35" t="str">
        <f>'FOUND DATA'!I108</f>
        <v>END</v>
      </c>
    </row>
    <row r="124">
      <c r="A124" s="36" t="str">
        <f>'FOUND DATA'!B126</f>
        <v/>
      </c>
      <c r="B124" s="35" t="str">
        <f>'FOUND DATA'!C126</f>
        <v/>
      </c>
      <c r="C124" s="36" t="str">
        <f>'FOUND DATA'!D126</f>
        <v/>
      </c>
      <c r="D124" s="35" t="str">
        <f>'FOUND DATA'!E126</f>
        <v/>
      </c>
      <c r="E124" s="36" t="str">
        <f>'FOUND DATA'!F126</f>
        <v/>
      </c>
      <c r="F124" s="35" t="str">
        <f>'FOUND DATA'!G126</f>
        <v/>
      </c>
      <c r="G124" s="36" t="str">
        <f>'FOUND DATA'!H126</f>
        <v/>
      </c>
      <c r="H124" s="35" t="str">
        <f>'FOUND DATA'!I126</f>
        <v/>
      </c>
    </row>
    <row r="125">
      <c r="A125" s="36" t="str">
        <f>'FOUND DATA'!B127</f>
        <v/>
      </c>
      <c r="B125" s="35" t="str">
        <f>'FOUND DATA'!C127</f>
        <v/>
      </c>
      <c r="C125" s="36" t="str">
        <f>'FOUND DATA'!D127</f>
        <v/>
      </c>
      <c r="D125" s="35" t="str">
        <f>'FOUND DATA'!E127</f>
        <v/>
      </c>
      <c r="E125" s="36" t="str">
        <f>'FOUND DATA'!F127</f>
        <v/>
      </c>
      <c r="F125" s="35" t="str">
        <f>'FOUND DATA'!G127</f>
        <v/>
      </c>
      <c r="G125" s="36" t="str">
        <f>'FOUND DATA'!H127</f>
        <v/>
      </c>
      <c r="H125" s="35" t="str">
        <f>'FOUND DATA'!I127</f>
        <v/>
      </c>
    </row>
    <row r="126">
      <c r="A126" s="36" t="str">
        <f>'FOUND DATA'!B128</f>
        <v/>
      </c>
      <c r="B126" s="35" t="str">
        <f>'FOUND DATA'!C128</f>
        <v/>
      </c>
      <c r="C126" s="36" t="str">
        <f>'FOUND DATA'!D128</f>
        <v/>
      </c>
      <c r="D126" s="35" t="str">
        <f>'FOUND DATA'!E128</f>
        <v/>
      </c>
      <c r="E126" s="36" t="str">
        <f>'FOUND DATA'!F128</f>
        <v/>
      </c>
      <c r="F126" s="35" t="str">
        <f>'FOUND DATA'!G128</f>
        <v/>
      </c>
      <c r="G126" s="36" t="str">
        <f>'FOUND DATA'!H128</f>
        <v/>
      </c>
      <c r="H126" s="35" t="str">
        <f>'FOUND DATA'!I128</f>
        <v/>
      </c>
    </row>
    <row r="127">
      <c r="A127" s="36" t="str">
        <f>'FOUND DATA'!B129</f>
        <v/>
      </c>
      <c r="B127" s="35" t="str">
        <f>'FOUND DATA'!C129</f>
        <v/>
      </c>
      <c r="C127" s="36" t="str">
        <f>'FOUND DATA'!D129</f>
        <v/>
      </c>
      <c r="D127" s="35" t="str">
        <f>'FOUND DATA'!E129</f>
        <v/>
      </c>
      <c r="E127" s="36" t="str">
        <f>'FOUND DATA'!F129</f>
        <v/>
      </c>
      <c r="F127" s="35" t="str">
        <f>'FOUND DATA'!G129</f>
        <v/>
      </c>
      <c r="G127" s="36" t="str">
        <f>'FOUND DATA'!H129</f>
        <v/>
      </c>
      <c r="H127" s="35" t="str">
        <f>'FOUND DATA'!I129</f>
        <v/>
      </c>
    </row>
    <row r="128">
      <c r="A128" s="36" t="str">
        <f>'FOUND DATA'!B130</f>
        <v/>
      </c>
      <c r="B128" s="35" t="str">
        <f>'FOUND DATA'!C130</f>
        <v/>
      </c>
      <c r="C128" s="36" t="str">
        <f>'FOUND DATA'!D130</f>
        <v/>
      </c>
      <c r="D128" s="35" t="str">
        <f>'FOUND DATA'!E130</f>
        <v/>
      </c>
      <c r="E128" s="36" t="str">
        <f>'FOUND DATA'!F130</f>
        <v/>
      </c>
      <c r="F128" s="35" t="str">
        <f>'FOUND DATA'!G130</f>
        <v/>
      </c>
      <c r="G128" s="36" t="str">
        <f>'FOUND DATA'!H130</f>
        <v/>
      </c>
      <c r="H128" s="35" t="str">
        <f>'FOUND DATA'!I130</f>
        <v/>
      </c>
    </row>
    <row r="129">
      <c r="A129" s="36" t="str">
        <f>'FOUND DATA'!B111</f>
        <v/>
      </c>
      <c r="B129" s="35" t="str">
        <f>'FOUND DATA'!C111</f>
        <v/>
      </c>
      <c r="C129" s="36" t="str">
        <f>'FOUND DATA'!D111</f>
        <v/>
      </c>
      <c r="D129" s="35" t="str">
        <f>'FOUND DATA'!E111</f>
        <v/>
      </c>
      <c r="E129" s="36" t="str">
        <f>'FOUND DATA'!F111</f>
        <v/>
      </c>
      <c r="F129" s="35" t="str">
        <f>'FOUND DATA'!G111</f>
        <v/>
      </c>
      <c r="G129" s="36" t="str">
        <f>'FOUND DATA'!H111</f>
        <v/>
      </c>
      <c r="H129" s="35" t="str">
        <f>'FOUND DATA'!I111</f>
        <v/>
      </c>
    </row>
    <row r="130">
      <c r="A130" s="36" t="str">
        <f>'FOUND DATA'!B112</f>
        <v/>
      </c>
      <c r="B130" s="35" t="str">
        <f>'FOUND DATA'!C112</f>
        <v/>
      </c>
      <c r="C130" s="36" t="str">
        <f>'FOUND DATA'!D112</f>
        <v/>
      </c>
      <c r="D130" s="35" t="str">
        <f>'FOUND DATA'!E112</f>
        <v/>
      </c>
      <c r="E130" s="36" t="str">
        <f>'FOUND DATA'!F112</f>
        <v/>
      </c>
      <c r="F130" s="35" t="str">
        <f>'FOUND DATA'!G112</f>
        <v/>
      </c>
      <c r="G130" s="36" t="str">
        <f>'FOUND DATA'!H112</f>
        <v/>
      </c>
      <c r="H130" s="35" t="str">
        <f>'FOUND DATA'!I112</f>
        <v/>
      </c>
    </row>
    <row r="131">
      <c r="A131" s="36" t="str">
        <f>'FOUND DATA'!B113</f>
        <v/>
      </c>
      <c r="B131" s="35" t="str">
        <f>'FOUND DATA'!C113</f>
        <v/>
      </c>
      <c r="C131" s="36" t="str">
        <f>'FOUND DATA'!D113</f>
        <v/>
      </c>
      <c r="D131" s="35" t="str">
        <f>'FOUND DATA'!E113</f>
        <v/>
      </c>
      <c r="E131" s="36" t="str">
        <f>'FOUND DATA'!F113</f>
        <v/>
      </c>
      <c r="F131" s="35" t="str">
        <f>'FOUND DATA'!G113</f>
        <v/>
      </c>
      <c r="G131" s="36" t="str">
        <f>'FOUND DATA'!H113</f>
        <v/>
      </c>
      <c r="H131" s="35" t="str">
        <f>'FOUND DATA'!I113</f>
        <v/>
      </c>
    </row>
    <row r="132">
      <c r="A132" s="36" t="str">
        <f>'FOUND DATA'!B114</f>
        <v/>
      </c>
      <c r="B132" s="35" t="str">
        <f>'FOUND DATA'!C114</f>
        <v/>
      </c>
      <c r="C132" s="36" t="str">
        <f>'FOUND DATA'!D114</f>
        <v/>
      </c>
      <c r="D132" s="35" t="str">
        <f>'FOUND DATA'!E114</f>
        <v/>
      </c>
      <c r="E132" s="36" t="str">
        <f>'FOUND DATA'!F114</f>
        <v/>
      </c>
      <c r="F132" s="35" t="str">
        <f>'FOUND DATA'!G114</f>
        <v/>
      </c>
      <c r="G132" s="36" t="str">
        <f>'FOUND DATA'!H114</f>
        <v/>
      </c>
      <c r="H132" s="35" t="str">
        <f>'FOUND DATA'!I114</f>
        <v/>
      </c>
    </row>
    <row r="146">
      <c r="A146" s="36" t="str">
        <f>'FOUND DATA'!B124</f>
        <v/>
      </c>
      <c r="B146" s="35" t="str">
        <f>'FOUND DATA'!C124</f>
        <v/>
      </c>
      <c r="C146" s="36" t="str">
        <f>'FOUND DATA'!D124</f>
        <v/>
      </c>
      <c r="D146" s="35" t="str">
        <f>'FOUND DATA'!E124</f>
        <v/>
      </c>
      <c r="E146" s="36" t="str">
        <f>'FOUND DATA'!F124</f>
        <v/>
      </c>
      <c r="F146" s="35" t="str">
        <f>'FOUND DATA'!G124</f>
        <v/>
      </c>
      <c r="G146" s="36" t="str">
        <f>'FOUND DATA'!H124</f>
        <v/>
      </c>
      <c r="H146" s="35" t="str">
        <f>'FOUND DATA'!I124</f>
        <v/>
      </c>
    </row>
    <row r="147">
      <c r="A147" s="36" t="str">
        <f>'FOUND DATA'!B125</f>
        <v/>
      </c>
      <c r="B147" s="35" t="str">
        <f>'FOUND DATA'!C125</f>
        <v/>
      </c>
      <c r="C147" s="36" t="str">
        <f>'FOUND DATA'!D125</f>
        <v/>
      </c>
      <c r="D147" s="35" t="str">
        <f>'FOUND DATA'!E125</f>
        <v/>
      </c>
      <c r="E147" s="36" t="str">
        <f>'FOUND DATA'!F125</f>
        <v/>
      </c>
      <c r="F147" s="35" t="str">
        <f>'FOUND DATA'!G125</f>
        <v/>
      </c>
      <c r="G147" s="36" t="str">
        <f>'FOUND DATA'!H125</f>
        <v/>
      </c>
      <c r="H147" s="35" t="str">
        <f>'FOUND DATA'!I125</f>
        <v/>
      </c>
    </row>
    <row r="148">
      <c r="A148" s="36" t="str">
        <f>'FOUND DATA'!B126</f>
        <v/>
      </c>
      <c r="B148" s="35" t="str">
        <f>'FOUND DATA'!C126</f>
        <v/>
      </c>
      <c r="C148" s="36" t="str">
        <f>'FOUND DATA'!D126</f>
        <v/>
      </c>
      <c r="D148" s="35" t="str">
        <f>'FOUND DATA'!E126</f>
        <v/>
      </c>
      <c r="E148" s="36" t="str">
        <f>'FOUND DATA'!F126</f>
        <v/>
      </c>
      <c r="F148" s="35" t="str">
        <f>'FOUND DATA'!G126</f>
        <v/>
      </c>
      <c r="G148" s="36" t="str">
        <f>'FOUND DATA'!H126</f>
        <v/>
      </c>
      <c r="H148" s="35" t="str">
        <f>'FOUND DATA'!I126</f>
        <v/>
      </c>
    </row>
    <row r="149">
      <c r="A149" s="36" t="str">
        <f>'FOUND DATA'!B127</f>
        <v/>
      </c>
      <c r="B149" s="35" t="str">
        <f>'FOUND DATA'!C127</f>
        <v/>
      </c>
      <c r="C149" s="36" t="str">
        <f>'FOUND DATA'!D127</f>
        <v/>
      </c>
      <c r="D149" s="35" t="str">
        <f>'FOUND DATA'!E127</f>
        <v/>
      </c>
      <c r="E149" s="36" t="str">
        <f>'FOUND DATA'!F127</f>
        <v/>
      </c>
      <c r="F149" s="35" t="str">
        <f>'FOUND DATA'!G127</f>
        <v/>
      </c>
      <c r="G149" s="36" t="str">
        <f>'FOUND DATA'!H127</f>
        <v/>
      </c>
      <c r="H149" s="35" t="str">
        <f>'FOUND DATA'!I127</f>
        <v/>
      </c>
    </row>
    <row r="150">
      <c r="A150" s="36" t="str">
        <f>'FOUND DATA'!B128</f>
        <v/>
      </c>
      <c r="B150" s="35" t="str">
        <f>'FOUND DATA'!C128</f>
        <v/>
      </c>
      <c r="C150" s="36" t="str">
        <f>'FOUND DATA'!D128</f>
        <v/>
      </c>
      <c r="D150" s="35" t="str">
        <f>'FOUND DATA'!E128</f>
        <v/>
      </c>
      <c r="E150" s="36" t="str">
        <f>'FOUND DATA'!F128</f>
        <v/>
      </c>
      <c r="F150" s="35" t="str">
        <f>'FOUND DATA'!G128</f>
        <v/>
      </c>
      <c r="G150" s="36" t="str">
        <f>'FOUND DATA'!H128</f>
        <v/>
      </c>
      <c r="H150" s="35" t="str">
        <f>'FOUND DATA'!I128</f>
        <v/>
      </c>
    </row>
    <row r="151">
      <c r="A151" s="36" t="str">
        <f>'FOUND DATA'!B129</f>
        <v/>
      </c>
      <c r="B151" s="35" t="str">
        <f>'FOUND DATA'!C129</f>
        <v/>
      </c>
      <c r="C151" s="36" t="str">
        <f>'FOUND DATA'!D129</f>
        <v/>
      </c>
      <c r="D151" s="35" t="str">
        <f>'FOUND DATA'!E129</f>
        <v/>
      </c>
      <c r="E151" s="36" t="str">
        <f>'FOUND DATA'!F129</f>
        <v/>
      </c>
      <c r="F151" s="35" t="str">
        <f>'FOUND DATA'!G129</f>
        <v/>
      </c>
      <c r="G151" s="36" t="str">
        <f>'FOUND DATA'!H129</f>
        <v/>
      </c>
      <c r="H151" s="35" t="str">
        <f>'FOUND DATA'!I129</f>
        <v/>
      </c>
    </row>
    <row r="152">
      <c r="A152" s="36" t="str">
        <f>'FOUND DATA'!B130</f>
        <v/>
      </c>
      <c r="B152" s="35" t="str">
        <f>'FOUND DATA'!C130</f>
        <v/>
      </c>
      <c r="C152" s="36" t="str">
        <f>'FOUND DATA'!D130</f>
        <v/>
      </c>
      <c r="D152" s="35" t="str">
        <f>'FOUND DATA'!E130</f>
        <v/>
      </c>
      <c r="E152" s="36" t="str">
        <f>'FOUND DATA'!F130</f>
        <v/>
      </c>
      <c r="F152" s="35" t="str">
        <f>'FOUND DATA'!G130</f>
        <v/>
      </c>
      <c r="G152" s="36" t="str">
        <f>'FOUND DATA'!H130</f>
        <v/>
      </c>
      <c r="H152" s="35" t="str">
        <f>'FOUND DATA'!I130</f>
        <v/>
      </c>
    </row>
    <row r="153">
      <c r="A153" s="36" t="str">
        <f>'FOUND DATA'!B131</f>
        <v/>
      </c>
      <c r="B153" s="35" t="str">
        <f>'FOUND DATA'!C131</f>
        <v/>
      </c>
      <c r="C153" s="36" t="str">
        <f>'FOUND DATA'!D131</f>
        <v/>
      </c>
      <c r="D153" s="35" t="str">
        <f>'FOUND DATA'!E131</f>
        <v/>
      </c>
      <c r="E153" s="36" t="str">
        <f>'FOUND DATA'!F131</f>
        <v/>
      </c>
      <c r="F153" s="35" t="str">
        <f>'FOUND DATA'!G131</f>
        <v/>
      </c>
      <c r="G153" s="36" t="str">
        <f>'FOUND DATA'!H131</f>
        <v/>
      </c>
      <c r="H153" s="35" t="str">
        <f>'FOUND DATA'!I131</f>
        <v/>
      </c>
    </row>
    <row r="154">
      <c r="A154" s="36" t="str">
        <f>'FOUND DATA'!B132</f>
        <v/>
      </c>
      <c r="B154" s="35" t="str">
        <f>'FOUND DATA'!C132</f>
        <v/>
      </c>
      <c r="C154" s="36" t="str">
        <f>'FOUND DATA'!D132</f>
        <v/>
      </c>
      <c r="D154" s="35" t="str">
        <f>'FOUND DATA'!E132</f>
        <v/>
      </c>
      <c r="E154" s="36" t="str">
        <f>'FOUND DATA'!F132</f>
        <v/>
      </c>
      <c r="F154" s="35" t="str">
        <f>'FOUND DATA'!G132</f>
        <v/>
      </c>
      <c r="G154" s="36" t="str">
        <f>'FOUND DATA'!H132</f>
        <v/>
      </c>
      <c r="H154" s="35" t="str">
        <f>'FOUND DATA'!I132</f>
        <v/>
      </c>
    </row>
    <row r="155">
      <c r="A155" s="36" t="str">
        <f>'FOUND DATA'!B133</f>
        <v/>
      </c>
      <c r="B155" s="35" t="str">
        <f>'FOUND DATA'!C133</f>
        <v/>
      </c>
      <c r="C155" s="36" t="str">
        <f>'FOUND DATA'!D133</f>
        <v/>
      </c>
      <c r="D155" s="35" t="str">
        <f>'FOUND DATA'!E133</f>
        <v/>
      </c>
      <c r="E155" s="36" t="str">
        <f>'FOUND DATA'!F133</f>
        <v/>
      </c>
      <c r="F155" s="35" t="str">
        <f>'FOUND DATA'!G133</f>
        <v/>
      </c>
      <c r="G155" s="36" t="str">
        <f>'FOUND DATA'!H133</f>
        <v/>
      </c>
      <c r="H155" s="35" t="str">
        <f>'FOUND DATA'!I133</f>
        <v/>
      </c>
    </row>
    <row r="156">
      <c r="A156" s="36" t="str">
        <f>'FOUND DATA'!B134</f>
        <v/>
      </c>
      <c r="B156" s="35" t="str">
        <f>'FOUND DATA'!C134</f>
        <v/>
      </c>
      <c r="C156" s="36" t="str">
        <f>'FOUND DATA'!D134</f>
        <v/>
      </c>
      <c r="D156" s="35" t="str">
        <f>'FOUND DATA'!E134</f>
        <v/>
      </c>
      <c r="E156" s="36" t="str">
        <f>'FOUND DATA'!F134</f>
        <v/>
      </c>
      <c r="F156" s="35" t="str">
        <f>'FOUND DATA'!G134</f>
        <v/>
      </c>
      <c r="G156" s="36" t="str">
        <f>'FOUND DATA'!H134</f>
        <v/>
      </c>
      <c r="H156" s="35" t="str">
        <f>'FOUND DATA'!I134</f>
        <v/>
      </c>
    </row>
    <row r="157">
      <c r="A157" s="36" t="str">
        <f>'FOUND DATA'!B135</f>
        <v/>
      </c>
      <c r="B157" s="35" t="str">
        <f>'FOUND DATA'!C135</f>
        <v/>
      </c>
      <c r="C157" s="36" t="str">
        <f>'FOUND DATA'!D135</f>
        <v/>
      </c>
      <c r="D157" s="35" t="str">
        <f>'FOUND DATA'!E135</f>
        <v/>
      </c>
      <c r="E157" s="36" t="str">
        <f>'FOUND DATA'!F135</f>
        <v/>
      </c>
      <c r="F157" s="35" t="str">
        <f>'FOUND DATA'!G135</f>
        <v/>
      </c>
      <c r="G157" s="36" t="str">
        <f>'FOUND DATA'!H135</f>
        <v/>
      </c>
      <c r="H157" s="35" t="str">
        <f>'FOUND DATA'!I135</f>
        <v/>
      </c>
    </row>
    <row r="158">
      <c r="A158" s="36" t="str">
        <f>'FOUND DATA'!B136</f>
        <v/>
      </c>
      <c r="B158" s="35" t="str">
        <f>'FOUND DATA'!C136</f>
        <v/>
      </c>
      <c r="C158" s="36" t="str">
        <f>'FOUND DATA'!D136</f>
        <v/>
      </c>
      <c r="D158" s="35" t="str">
        <f>'FOUND DATA'!E136</f>
        <v/>
      </c>
      <c r="E158" s="36" t="str">
        <f>'FOUND DATA'!F136</f>
        <v/>
      </c>
      <c r="F158" s="35" t="str">
        <f>'FOUND DATA'!G136</f>
        <v/>
      </c>
      <c r="G158" s="36" t="str">
        <f>'FOUND DATA'!H136</f>
        <v/>
      </c>
      <c r="H158" s="35" t="str">
        <f>'FOUND DATA'!I136</f>
        <v/>
      </c>
    </row>
    <row r="159">
      <c r="A159" s="36" t="str">
        <f>'FOUND DATA'!B137</f>
        <v/>
      </c>
      <c r="B159" s="35" t="str">
        <f>'FOUND DATA'!C137</f>
        <v/>
      </c>
      <c r="C159" s="36" t="str">
        <f>'FOUND DATA'!D137</f>
        <v/>
      </c>
      <c r="D159" s="35" t="str">
        <f>'FOUND DATA'!E137</f>
        <v/>
      </c>
      <c r="E159" s="36" t="str">
        <f>'FOUND DATA'!F137</f>
        <v/>
      </c>
      <c r="F159" s="35" t="str">
        <f>'FOUND DATA'!G137</f>
        <v/>
      </c>
      <c r="G159" s="36" t="str">
        <f>'FOUND DATA'!H137</f>
        <v/>
      </c>
      <c r="H159" s="35" t="str">
        <f>'FOUND DATA'!I137</f>
        <v/>
      </c>
    </row>
    <row r="160">
      <c r="A160" s="36" t="str">
        <f>'FOUND DATA'!B138</f>
        <v/>
      </c>
      <c r="B160" s="35" t="str">
        <f>'FOUND DATA'!C138</f>
        <v/>
      </c>
      <c r="C160" s="36" t="str">
        <f>'FOUND DATA'!D138</f>
        <v/>
      </c>
      <c r="D160" s="35" t="str">
        <f>'FOUND DATA'!E138</f>
        <v/>
      </c>
      <c r="E160" s="36" t="str">
        <f>'FOUND DATA'!F138</f>
        <v/>
      </c>
      <c r="F160" s="35" t="str">
        <f>'FOUND DATA'!G138</f>
        <v/>
      </c>
      <c r="G160" s="36" t="str">
        <f>'FOUND DATA'!H138</f>
        <v/>
      </c>
      <c r="H160" s="35" t="str">
        <f>'FOUND DATA'!I138</f>
        <v/>
      </c>
    </row>
    <row r="161">
      <c r="A161" s="36" t="str">
        <f>'FOUND DATA'!B139</f>
        <v/>
      </c>
      <c r="B161" s="35" t="str">
        <f>'FOUND DATA'!C139</f>
        <v/>
      </c>
      <c r="C161" s="36" t="str">
        <f>'FOUND DATA'!D139</f>
        <v/>
      </c>
      <c r="D161" s="35" t="str">
        <f>'FOUND DATA'!E139</f>
        <v/>
      </c>
      <c r="E161" s="36" t="str">
        <f>'FOUND DATA'!F139</f>
        <v/>
      </c>
      <c r="F161" s="35" t="str">
        <f>'FOUND DATA'!G139</f>
        <v/>
      </c>
      <c r="G161" s="36" t="str">
        <f>'FOUND DATA'!H139</f>
        <v/>
      </c>
      <c r="H161" s="35" t="str">
        <f>'FOUND DATA'!I139</f>
        <v/>
      </c>
    </row>
    <row r="162">
      <c r="A162" s="36" t="str">
        <f>'FOUND DATA'!B140</f>
        <v/>
      </c>
      <c r="B162" s="35" t="str">
        <f>'FOUND DATA'!C140</f>
        <v/>
      </c>
      <c r="C162" s="36" t="str">
        <f>'FOUND DATA'!D140</f>
        <v/>
      </c>
      <c r="D162" s="35" t="str">
        <f>'FOUND DATA'!E140</f>
        <v/>
      </c>
      <c r="E162" s="36" t="str">
        <f>'FOUND DATA'!F140</f>
        <v/>
      </c>
      <c r="F162" s="35" t="str">
        <f>'FOUND DATA'!G140</f>
        <v/>
      </c>
      <c r="G162" s="36" t="str">
        <f>'FOUND DATA'!H140</f>
        <v/>
      </c>
      <c r="H162" s="35" t="str">
        <f>'FOUND DATA'!I140</f>
        <v/>
      </c>
    </row>
    <row r="163">
      <c r="A163" s="36" t="str">
        <f>'FOUND DATA'!B141</f>
        <v/>
      </c>
      <c r="B163" s="35" t="str">
        <f>'FOUND DATA'!C141</f>
        <v/>
      </c>
      <c r="C163" s="36" t="str">
        <f>'FOUND DATA'!D141</f>
        <v/>
      </c>
      <c r="D163" s="35" t="str">
        <f>'FOUND DATA'!E141</f>
        <v/>
      </c>
      <c r="E163" s="36" t="str">
        <f>'FOUND DATA'!F141</f>
        <v/>
      </c>
      <c r="F163" s="35" t="str">
        <f>'FOUND DATA'!G141</f>
        <v/>
      </c>
      <c r="G163" s="36" t="str">
        <f>'FOUND DATA'!H141</f>
        <v/>
      </c>
      <c r="H163" s="35" t="str">
        <f>'FOUND DATA'!I141</f>
        <v/>
      </c>
    </row>
    <row r="164">
      <c r="A164" s="36" t="str">
        <f>'FOUND DATA'!B142</f>
        <v/>
      </c>
      <c r="B164" s="35" t="str">
        <f>'FOUND DATA'!C142</f>
        <v/>
      </c>
      <c r="C164" s="36" t="str">
        <f>'FOUND DATA'!D142</f>
        <v/>
      </c>
      <c r="D164" s="35" t="str">
        <f>'FOUND DATA'!E142</f>
        <v/>
      </c>
      <c r="E164" s="36" t="str">
        <f>'FOUND DATA'!F142</f>
        <v/>
      </c>
      <c r="F164" s="35" t="str">
        <f>'FOUND DATA'!G142</f>
        <v/>
      </c>
      <c r="G164" s="36" t="str">
        <f>'FOUND DATA'!H142</f>
        <v/>
      </c>
      <c r="H164" s="35" t="str">
        <f>'FOUND DATA'!I142</f>
        <v/>
      </c>
    </row>
    <row r="165">
      <c r="A165" s="36" t="str">
        <f>'FOUND DATA'!B143</f>
        <v/>
      </c>
      <c r="B165" s="35" t="str">
        <f>'FOUND DATA'!C143</f>
        <v/>
      </c>
      <c r="C165" s="36" t="str">
        <f>'FOUND DATA'!D143</f>
        <v/>
      </c>
      <c r="D165" s="35" t="str">
        <f>'FOUND DATA'!E143</f>
        <v/>
      </c>
      <c r="E165" s="36" t="str">
        <f>'FOUND DATA'!F143</f>
        <v/>
      </c>
      <c r="F165" s="35" t="str">
        <f>'FOUND DATA'!G143</f>
        <v/>
      </c>
      <c r="G165" s="36" t="str">
        <f>'FOUND DATA'!H143</f>
        <v/>
      </c>
      <c r="H165" s="35" t="str">
        <f>'FOUND DATA'!I143</f>
        <v/>
      </c>
    </row>
    <row r="166">
      <c r="A166" s="36" t="str">
        <f>'FOUND DATA'!B144</f>
        <v/>
      </c>
      <c r="B166" s="35" t="str">
        <f>'FOUND DATA'!C144</f>
        <v/>
      </c>
      <c r="C166" s="36" t="str">
        <f>'FOUND DATA'!D144</f>
        <v/>
      </c>
      <c r="D166" s="35" t="str">
        <f>'FOUND DATA'!E144</f>
        <v/>
      </c>
      <c r="E166" s="36" t="str">
        <f>'FOUND DATA'!F144</f>
        <v/>
      </c>
      <c r="F166" s="35" t="str">
        <f>'FOUND DATA'!G144</f>
        <v/>
      </c>
      <c r="G166" s="36" t="str">
        <f>'FOUND DATA'!H144</f>
        <v/>
      </c>
      <c r="H166" s="35" t="str">
        <f>'FOUND DATA'!I144</f>
        <v/>
      </c>
    </row>
    <row r="167">
      <c r="A167" s="36" t="str">
        <f>'FOUND DATA'!B145</f>
        <v/>
      </c>
      <c r="B167" s="35" t="str">
        <f>'FOUND DATA'!C145</f>
        <v/>
      </c>
      <c r="C167" s="36" t="str">
        <f>'FOUND DATA'!D145</f>
        <v/>
      </c>
      <c r="D167" s="35" t="str">
        <f>'FOUND DATA'!E145</f>
        <v/>
      </c>
      <c r="E167" s="36" t="str">
        <f>'FOUND DATA'!F145</f>
        <v/>
      </c>
      <c r="F167" s="35" t="str">
        <f>'FOUND DATA'!G145</f>
        <v/>
      </c>
      <c r="G167" s="36" t="str">
        <f>'FOUND DATA'!H145</f>
        <v/>
      </c>
      <c r="H167" s="35" t="str">
        <f>'FOUND DATA'!I145</f>
        <v/>
      </c>
    </row>
    <row r="168">
      <c r="A168" s="36" t="str">
        <f>'FOUND DATA'!B146</f>
        <v/>
      </c>
      <c r="B168" s="35" t="str">
        <f>'FOUND DATA'!C146</f>
        <v/>
      </c>
      <c r="C168" s="36" t="str">
        <f>'FOUND DATA'!D146</f>
        <v/>
      </c>
      <c r="D168" s="35" t="str">
        <f>'FOUND DATA'!E146</f>
        <v/>
      </c>
      <c r="E168" s="36" t="str">
        <f>'FOUND DATA'!F146</f>
        <v/>
      </c>
      <c r="F168" s="35" t="str">
        <f>'FOUND DATA'!G146</f>
        <v/>
      </c>
      <c r="G168" s="36" t="str">
        <f>'FOUND DATA'!H146</f>
        <v/>
      </c>
      <c r="H168" s="35" t="str">
        <f>'FOUND DATA'!I146</f>
        <v/>
      </c>
    </row>
    <row r="169">
      <c r="A169" s="36" t="str">
        <f>'FOUND DATA'!B147</f>
        <v/>
      </c>
      <c r="B169" s="35" t="str">
        <f>'FOUND DATA'!C147</f>
        <v/>
      </c>
      <c r="C169" s="36" t="str">
        <f>'FOUND DATA'!D147</f>
        <v/>
      </c>
      <c r="D169" s="35" t="str">
        <f>'FOUND DATA'!E147</f>
        <v/>
      </c>
      <c r="E169" s="36" t="str">
        <f>'FOUND DATA'!F147</f>
        <v/>
      </c>
      <c r="F169" s="35" t="str">
        <f>'FOUND DATA'!G147</f>
        <v/>
      </c>
      <c r="G169" s="36" t="str">
        <f>'FOUND DATA'!H147</f>
        <v/>
      </c>
      <c r="H169" s="35" t="str">
        <f>'FOUND DATA'!I147</f>
        <v/>
      </c>
    </row>
    <row r="170">
      <c r="A170" s="36" t="str">
        <f>'FOUND DATA'!B148</f>
        <v/>
      </c>
      <c r="B170" s="35" t="str">
        <f>'FOUND DATA'!C148</f>
        <v/>
      </c>
      <c r="C170" s="36" t="str">
        <f>'FOUND DATA'!D148</f>
        <v/>
      </c>
      <c r="D170" s="35" t="str">
        <f>'FOUND DATA'!E148</f>
        <v/>
      </c>
      <c r="E170" s="36" t="str">
        <f>'FOUND DATA'!F148</f>
        <v/>
      </c>
      <c r="F170" s="35" t="str">
        <f>'FOUND DATA'!G148</f>
        <v/>
      </c>
      <c r="G170" s="36" t="str">
        <f>'FOUND DATA'!H148</f>
        <v/>
      </c>
      <c r="H170" s="35" t="str">
        <f>'FOUND DATA'!I148</f>
        <v/>
      </c>
    </row>
    <row r="171">
      <c r="A171" s="36" t="str">
        <f>'FOUND DATA'!B149</f>
        <v/>
      </c>
      <c r="B171" s="35" t="str">
        <f>'FOUND DATA'!C149</f>
        <v/>
      </c>
      <c r="C171" s="36" t="str">
        <f>'FOUND DATA'!D149</f>
        <v/>
      </c>
      <c r="D171" s="35" t="str">
        <f>'FOUND DATA'!E149</f>
        <v/>
      </c>
      <c r="E171" s="36" t="str">
        <f>'FOUND DATA'!F149</f>
        <v/>
      </c>
      <c r="F171" s="35" t="str">
        <f>'FOUND DATA'!G149</f>
        <v/>
      </c>
      <c r="G171" s="36" t="str">
        <f>'FOUND DATA'!H149</f>
        <v/>
      </c>
      <c r="H171" s="35" t="str">
        <f>'FOUND DATA'!I149</f>
        <v/>
      </c>
    </row>
    <row r="172">
      <c r="A172" s="36" t="str">
        <f>'FOUND DATA'!B150</f>
        <v/>
      </c>
      <c r="B172" s="35" t="str">
        <f>'FOUND DATA'!C150</f>
        <v/>
      </c>
      <c r="C172" s="36" t="str">
        <f>'FOUND DATA'!D150</f>
        <v/>
      </c>
      <c r="D172" s="35" t="str">
        <f>'FOUND DATA'!E150</f>
        <v/>
      </c>
      <c r="E172" s="36" t="str">
        <f>'FOUND DATA'!F150</f>
        <v/>
      </c>
      <c r="F172" s="35" t="str">
        <f>'FOUND DATA'!G150</f>
        <v/>
      </c>
      <c r="G172" s="36" t="str">
        <f>'FOUND DATA'!H150</f>
        <v/>
      </c>
      <c r="H172" s="35" t="str">
        <f>'FOUND DATA'!I150</f>
        <v/>
      </c>
    </row>
    <row r="173">
      <c r="A173" s="36" t="str">
        <f>'FOUND DATA'!B151</f>
        <v/>
      </c>
      <c r="B173" s="35" t="str">
        <f>'FOUND DATA'!C151</f>
        <v/>
      </c>
      <c r="C173" s="36" t="str">
        <f>'FOUND DATA'!D151</f>
        <v/>
      </c>
      <c r="D173" s="35" t="str">
        <f>'FOUND DATA'!E151</f>
        <v/>
      </c>
      <c r="E173" s="36" t="str">
        <f>'FOUND DATA'!F151</f>
        <v/>
      </c>
      <c r="F173" s="35" t="str">
        <f>'FOUND DATA'!G151</f>
        <v/>
      </c>
      <c r="G173" s="36" t="str">
        <f>'FOUND DATA'!H151</f>
        <v/>
      </c>
      <c r="H173" s="35" t="str">
        <f>'FOUND DATA'!I151</f>
        <v/>
      </c>
    </row>
    <row r="174">
      <c r="A174" s="36" t="str">
        <f>'FOUND DATA'!B152</f>
        <v/>
      </c>
      <c r="B174" s="35" t="str">
        <f>'FOUND DATA'!C152</f>
        <v/>
      </c>
      <c r="C174" s="36" t="str">
        <f>'FOUND DATA'!D152</f>
        <v/>
      </c>
      <c r="D174" s="35" t="str">
        <f>'FOUND DATA'!E152</f>
        <v/>
      </c>
      <c r="E174" s="36" t="str">
        <f>'FOUND DATA'!F152</f>
        <v/>
      </c>
      <c r="F174" s="35" t="str">
        <f>'FOUND DATA'!G152</f>
        <v/>
      </c>
      <c r="G174" s="36" t="str">
        <f>'FOUND DATA'!H152</f>
        <v/>
      </c>
      <c r="H174" s="35" t="str">
        <f>'FOUND DATA'!I152</f>
        <v/>
      </c>
    </row>
    <row r="175">
      <c r="A175" s="36" t="str">
        <f>'FOUND DATA'!B153</f>
        <v/>
      </c>
      <c r="B175" s="35" t="str">
        <f>'FOUND DATA'!C153</f>
        <v/>
      </c>
      <c r="C175" s="36" t="str">
        <f>'FOUND DATA'!D153</f>
        <v/>
      </c>
      <c r="D175" s="35" t="str">
        <f>'FOUND DATA'!E153</f>
        <v/>
      </c>
      <c r="E175" s="36" t="str">
        <f>'FOUND DATA'!F153</f>
        <v/>
      </c>
      <c r="F175" s="35" t="str">
        <f>'FOUND DATA'!G153</f>
        <v/>
      </c>
      <c r="G175" s="36" t="str">
        <f>'FOUND DATA'!H153</f>
        <v/>
      </c>
      <c r="H175" s="35" t="str">
        <f>'FOUND DATA'!I153</f>
        <v/>
      </c>
    </row>
    <row r="176">
      <c r="A176" s="36" t="str">
        <f>'FOUND DATA'!B154</f>
        <v/>
      </c>
      <c r="B176" s="35" t="str">
        <f>'FOUND DATA'!C154</f>
        <v/>
      </c>
      <c r="C176" s="36" t="str">
        <f>'FOUND DATA'!D154</f>
        <v/>
      </c>
      <c r="D176" s="35" t="str">
        <f>'FOUND DATA'!E154</f>
        <v/>
      </c>
      <c r="E176" s="36" t="str">
        <f>'FOUND DATA'!F154</f>
        <v/>
      </c>
      <c r="F176" s="35" t="str">
        <f>'FOUND DATA'!G154</f>
        <v/>
      </c>
      <c r="G176" s="36" t="str">
        <f>'FOUND DATA'!H154</f>
        <v/>
      </c>
      <c r="H176" s="35" t="str">
        <f>'FOUND DATA'!I154</f>
        <v/>
      </c>
    </row>
    <row r="177">
      <c r="A177" s="36" t="str">
        <f>'FOUND DATA'!B155</f>
        <v/>
      </c>
      <c r="B177" s="35" t="str">
        <f>'FOUND DATA'!C155</f>
        <v/>
      </c>
      <c r="C177" s="36" t="str">
        <f>'FOUND DATA'!D155</f>
        <v/>
      </c>
      <c r="D177" s="35" t="str">
        <f>'FOUND DATA'!E155</f>
        <v/>
      </c>
      <c r="E177" s="36" t="str">
        <f>'FOUND DATA'!F155</f>
        <v/>
      </c>
      <c r="F177" s="35" t="str">
        <f>'FOUND DATA'!G155</f>
        <v/>
      </c>
      <c r="G177" s="36" t="str">
        <f>'FOUND DATA'!H155</f>
        <v/>
      </c>
      <c r="H177" s="35" t="str">
        <f>'FOUND DATA'!I155</f>
        <v/>
      </c>
    </row>
    <row r="178">
      <c r="A178" s="36" t="str">
        <f>'FOUND DATA'!B156</f>
        <v/>
      </c>
      <c r="B178" s="35" t="str">
        <f>'FOUND DATA'!C156</f>
        <v/>
      </c>
      <c r="C178" s="36" t="str">
        <f>'FOUND DATA'!D156</f>
        <v/>
      </c>
      <c r="D178" s="35" t="str">
        <f>'FOUND DATA'!E156</f>
        <v/>
      </c>
      <c r="E178" s="36" t="str">
        <f>'FOUND DATA'!F156</f>
        <v/>
      </c>
      <c r="F178" s="35" t="str">
        <f>'FOUND DATA'!G156</f>
        <v/>
      </c>
      <c r="G178" s="36" t="str">
        <f>'FOUND DATA'!H156</f>
        <v/>
      </c>
      <c r="H178" s="35" t="str">
        <f>'FOUND DATA'!I156</f>
        <v/>
      </c>
    </row>
    <row r="179">
      <c r="A179" s="36" t="str">
        <f>'FOUND DATA'!B157</f>
        <v/>
      </c>
      <c r="B179" s="35" t="str">
        <f>'FOUND DATA'!C157</f>
        <v/>
      </c>
      <c r="C179" s="36" t="str">
        <f>'FOUND DATA'!D157</f>
        <v/>
      </c>
      <c r="D179" s="35" t="str">
        <f>'FOUND DATA'!E157</f>
        <v/>
      </c>
      <c r="E179" s="36" t="str">
        <f>'FOUND DATA'!F157</f>
        <v/>
      </c>
      <c r="F179" s="35" t="str">
        <f>'FOUND DATA'!G157</f>
        <v/>
      </c>
      <c r="G179" s="36" t="str">
        <f>'FOUND DATA'!H157</f>
        <v/>
      </c>
      <c r="H179" s="35" t="str">
        <f>'FOUND DATA'!I157</f>
        <v/>
      </c>
    </row>
    <row r="180">
      <c r="A180" s="36" t="str">
        <f>'FOUND DATA'!B158</f>
        <v/>
      </c>
      <c r="B180" s="35" t="str">
        <f>'FOUND DATA'!C158</f>
        <v/>
      </c>
      <c r="C180" s="36" t="str">
        <f>'FOUND DATA'!D158</f>
        <v/>
      </c>
      <c r="D180" s="35" t="str">
        <f>'FOUND DATA'!E158</f>
        <v/>
      </c>
      <c r="E180" s="36" t="str">
        <f>'FOUND DATA'!F158</f>
        <v/>
      </c>
      <c r="F180" s="35" t="str">
        <f>'FOUND DATA'!G158</f>
        <v/>
      </c>
      <c r="G180" s="36" t="str">
        <f>'FOUND DATA'!H158</f>
        <v/>
      </c>
      <c r="H180" s="35" t="str">
        <f>'FOUND DATA'!I158</f>
        <v/>
      </c>
    </row>
    <row r="181">
      <c r="A181" s="36" t="str">
        <f>'FOUND DATA'!B159</f>
        <v/>
      </c>
      <c r="B181" s="35" t="str">
        <f>'FOUND DATA'!C159</f>
        <v/>
      </c>
      <c r="C181" s="36" t="str">
        <f>'FOUND DATA'!D159</f>
        <v/>
      </c>
      <c r="D181" s="35" t="str">
        <f>'FOUND DATA'!E159</f>
        <v/>
      </c>
      <c r="E181" s="36" t="str">
        <f>'FOUND DATA'!F159</f>
        <v/>
      </c>
      <c r="F181" s="35" t="str">
        <f>'FOUND DATA'!G159</f>
        <v/>
      </c>
      <c r="G181" s="36" t="str">
        <f>'FOUND DATA'!H159</f>
        <v/>
      </c>
      <c r="H181" s="35" t="str">
        <f>'FOUND DATA'!I159</f>
        <v/>
      </c>
    </row>
    <row r="182">
      <c r="A182" s="36" t="str">
        <f>'FOUND DATA'!B160</f>
        <v/>
      </c>
      <c r="B182" s="35" t="str">
        <f>'FOUND DATA'!C160</f>
        <v/>
      </c>
      <c r="C182" s="36" t="str">
        <f>'FOUND DATA'!D160</f>
        <v/>
      </c>
      <c r="D182" s="35" t="str">
        <f>'FOUND DATA'!E160</f>
        <v/>
      </c>
      <c r="E182" s="36" t="str">
        <f>'FOUND DATA'!F160</f>
        <v/>
      </c>
      <c r="F182" s="35" t="str">
        <f>'FOUND DATA'!G160</f>
        <v/>
      </c>
      <c r="G182" s="36" t="str">
        <f>'FOUND DATA'!H160</f>
        <v/>
      </c>
      <c r="H182" s="35" t="str">
        <f>'FOUND DATA'!I160</f>
        <v/>
      </c>
    </row>
    <row r="183">
      <c r="A183" s="36" t="str">
        <f>'FOUND DATA'!B161</f>
        <v/>
      </c>
      <c r="B183" s="35" t="str">
        <f>'FOUND DATA'!C161</f>
        <v/>
      </c>
      <c r="C183" s="36" t="str">
        <f>'FOUND DATA'!D161</f>
        <v/>
      </c>
      <c r="D183" s="35" t="str">
        <f>'FOUND DATA'!E161</f>
        <v/>
      </c>
      <c r="E183" s="36" t="str">
        <f>'FOUND DATA'!F161</f>
        <v/>
      </c>
      <c r="F183" s="35" t="str">
        <f>'FOUND DATA'!G161</f>
        <v/>
      </c>
      <c r="G183" s="36" t="str">
        <f>'FOUND DATA'!H161</f>
        <v/>
      </c>
      <c r="H183" s="35" t="str">
        <f>'FOUND DATA'!I161</f>
        <v/>
      </c>
    </row>
    <row r="184">
      <c r="A184" s="36" t="str">
        <f>'FOUND DATA'!B162</f>
        <v/>
      </c>
      <c r="B184" s="35" t="str">
        <f>'FOUND DATA'!C162</f>
        <v/>
      </c>
      <c r="C184" s="36" t="str">
        <f>'FOUND DATA'!D162</f>
        <v/>
      </c>
      <c r="D184" s="35" t="str">
        <f>'FOUND DATA'!E162</f>
        <v/>
      </c>
      <c r="E184" s="36" t="str">
        <f>'FOUND DATA'!F162</f>
        <v/>
      </c>
      <c r="F184" s="35" t="str">
        <f>'FOUND DATA'!G162</f>
        <v/>
      </c>
      <c r="G184" s="36" t="str">
        <f>'FOUND DATA'!H162</f>
        <v/>
      </c>
      <c r="H184" s="35" t="str">
        <f>'FOUND DATA'!I162</f>
        <v/>
      </c>
    </row>
    <row r="185">
      <c r="A185" s="36" t="str">
        <f>'FOUND DATA'!B163</f>
        <v/>
      </c>
      <c r="B185" s="35" t="str">
        <f>'FOUND DATA'!C163</f>
        <v/>
      </c>
      <c r="C185" s="36" t="str">
        <f>'FOUND DATA'!D163</f>
        <v/>
      </c>
      <c r="D185" s="35" t="str">
        <f>'FOUND DATA'!E163</f>
        <v/>
      </c>
      <c r="E185" s="36" t="str">
        <f>'FOUND DATA'!F163</f>
        <v/>
      </c>
      <c r="F185" s="35" t="str">
        <f>'FOUND DATA'!G163</f>
        <v/>
      </c>
      <c r="G185" s="36" t="str">
        <f>'FOUND DATA'!H163</f>
        <v/>
      </c>
      <c r="H185" s="35" t="str">
        <f>'FOUND DATA'!I163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tr">
        <f>'FOUND DATA'!C4</f>
        <v>HW Weight</v>
      </c>
      <c r="B1" s="36" t="str">
        <f>'FOUND DATA'!D4</f>
        <v># Project Assignments</v>
      </c>
      <c r="C1" s="35" t="str">
        <f>'FOUND DATA'!E4</f>
        <v>Project Weight</v>
      </c>
      <c r="D1" s="36" t="str">
        <f>'FOUND DATA'!F4</f>
        <v># Final exam</v>
      </c>
      <c r="E1" s="35" t="str">
        <f>'FOUND DATA'!G4</f>
        <v>Final Weight</v>
      </c>
      <c r="F1" s="36" t="str">
        <f>'FOUND DATA'!H4</f>
        <v># Other Exams</v>
      </c>
    </row>
    <row r="2">
      <c r="A2" s="35">
        <f>'FOUND DATA'!C5</f>
        <v>0.2</v>
      </c>
      <c r="B2" s="36">
        <f>'FOUND DATA'!D5</f>
        <v>10</v>
      </c>
      <c r="C2" s="35">
        <f>'FOUND DATA'!E5</f>
        <v>0.6</v>
      </c>
      <c r="D2" s="36">
        <f>'FOUND DATA'!F5</f>
        <v>0</v>
      </c>
      <c r="E2" s="35">
        <f>'FOUND DATA'!G5</f>
        <v>0</v>
      </c>
      <c r="F2" s="36">
        <f>'FOUND DATA'!H5</f>
        <v>0</v>
      </c>
    </row>
    <row r="3">
      <c r="A3" s="35">
        <f>'FOUND DATA'!C6</f>
        <v>0.32</v>
      </c>
      <c r="B3" s="36">
        <f>'FOUND DATA'!D6</f>
        <v>4</v>
      </c>
      <c r="C3" s="35">
        <f>'FOUND DATA'!E6</f>
        <v>0.16</v>
      </c>
      <c r="D3" s="36">
        <f>'FOUND DATA'!F6</f>
        <v>1</v>
      </c>
      <c r="E3" s="35">
        <f>'FOUND DATA'!G6</f>
        <v>0.2</v>
      </c>
      <c r="F3" s="36">
        <f>'FOUND DATA'!H6</f>
        <v>0</v>
      </c>
    </row>
    <row r="4">
      <c r="A4" s="35">
        <f>'FOUND DATA'!C7</f>
        <v>0.32</v>
      </c>
      <c r="B4" s="36">
        <f>'FOUND DATA'!D7</f>
        <v>4</v>
      </c>
      <c r="C4" s="35">
        <f>'FOUND DATA'!E7</f>
        <v>0.16</v>
      </c>
      <c r="D4" s="36">
        <f>'FOUND DATA'!F7</f>
        <v>1</v>
      </c>
      <c r="E4" s="35">
        <f>'FOUND DATA'!G7</f>
        <v>0.2</v>
      </c>
      <c r="F4" s="36">
        <f>'FOUND DATA'!H7</f>
        <v>0</v>
      </c>
    </row>
    <row r="5">
      <c r="A5" s="35">
        <f>'FOUND DATA'!C8</f>
        <v>0.3</v>
      </c>
      <c r="B5" s="36">
        <f>'FOUND DATA'!D8</f>
        <v>6</v>
      </c>
      <c r="C5" s="35">
        <f>'FOUND DATA'!E8</f>
        <v>0.2</v>
      </c>
      <c r="D5" s="36">
        <f>'FOUND DATA'!F8</f>
        <v>0</v>
      </c>
      <c r="E5" s="35">
        <f>'FOUND DATA'!G8</f>
        <v>0</v>
      </c>
      <c r="F5" s="36">
        <f>'FOUND DATA'!H8</f>
        <v>3</v>
      </c>
    </row>
    <row r="6">
      <c r="A6" s="35">
        <f>'FOUND DATA'!C9</f>
        <v>0.5</v>
      </c>
      <c r="B6" s="36">
        <f>'FOUND DATA'!D9</f>
        <v>6</v>
      </c>
      <c r="C6" s="35">
        <f>'FOUND DATA'!E9</f>
        <v>0.2</v>
      </c>
      <c r="D6" s="36">
        <f>'FOUND DATA'!F9</f>
        <v>0</v>
      </c>
      <c r="E6" s="35">
        <f>'FOUND DATA'!G9</f>
        <v>0</v>
      </c>
      <c r="F6" s="36">
        <f>'FOUND DATA'!H9</f>
        <v>3</v>
      </c>
    </row>
    <row r="7">
      <c r="A7" s="35">
        <f>'FOUND DATA'!C10</f>
        <v>0.36</v>
      </c>
      <c r="B7" s="36">
        <f>'FOUND DATA'!D10</f>
        <v>0</v>
      </c>
      <c r="C7" s="35">
        <f>'FOUND DATA'!E10</f>
        <v>0</v>
      </c>
      <c r="D7" s="36">
        <f>'FOUND DATA'!F10</f>
        <v>0</v>
      </c>
      <c r="E7" s="35">
        <f>'FOUND DATA'!G10</f>
        <v>0</v>
      </c>
      <c r="F7" s="36">
        <f>'FOUND DATA'!H10</f>
        <v>4</v>
      </c>
    </row>
    <row r="8">
      <c r="A8" s="35">
        <f>'FOUND DATA'!C11</f>
        <v>0.25</v>
      </c>
      <c r="B8" s="36">
        <f>'FOUND DATA'!D11</f>
        <v>5</v>
      </c>
      <c r="C8" s="35">
        <f>'FOUND DATA'!E11</f>
        <v>0.15</v>
      </c>
      <c r="D8" s="36">
        <f>'FOUND DATA'!F11</f>
        <v>1</v>
      </c>
      <c r="E8" s="35">
        <f>'FOUND DATA'!G11</f>
        <v>0.2</v>
      </c>
      <c r="F8" s="36">
        <f>'FOUND DATA'!H11</f>
        <v>3</v>
      </c>
    </row>
    <row r="9">
      <c r="A9" s="35">
        <f>'FOUND DATA'!C12</f>
        <v>0.25</v>
      </c>
      <c r="B9" s="36">
        <f>'FOUND DATA'!D12</f>
        <v>4</v>
      </c>
      <c r="C9" s="35">
        <f>'FOUND DATA'!E12</f>
        <v>0.15</v>
      </c>
      <c r="D9" s="36">
        <f>'FOUND DATA'!F12</f>
        <v>1</v>
      </c>
      <c r="E9" s="35">
        <f>'FOUND DATA'!G12</f>
        <v>0.2</v>
      </c>
      <c r="F9" s="36">
        <f>'FOUND DATA'!H12</f>
        <v>3</v>
      </c>
    </row>
    <row r="10">
      <c r="A10" s="35">
        <f>'FOUND DATA'!C13</f>
        <v>0.25</v>
      </c>
      <c r="B10" s="36">
        <f>'FOUND DATA'!D13</f>
        <v>9</v>
      </c>
      <c r="C10" s="35">
        <f>'FOUND DATA'!E13</f>
        <v>0.15</v>
      </c>
      <c r="D10" s="36">
        <f>'FOUND DATA'!F13</f>
        <v>1</v>
      </c>
      <c r="E10" s="35">
        <f>'FOUND DATA'!G13</f>
        <v>0.2</v>
      </c>
      <c r="F10" s="36">
        <f>'FOUND DATA'!H13</f>
        <v>3</v>
      </c>
    </row>
    <row r="11">
      <c r="A11" s="35">
        <f>'FOUND DATA'!C14</f>
        <v>0.25</v>
      </c>
      <c r="B11" s="36">
        <f>'FOUND DATA'!D14</f>
        <v>6</v>
      </c>
      <c r="C11" s="35">
        <f>'FOUND DATA'!E14</f>
        <v>0.15</v>
      </c>
      <c r="D11" s="36">
        <f>'FOUND DATA'!F14</f>
        <v>1</v>
      </c>
      <c r="E11" s="35">
        <f>'FOUND DATA'!G14</f>
        <v>0.2</v>
      </c>
      <c r="F11" s="36">
        <f>'FOUND DATA'!H14</f>
        <v>3</v>
      </c>
    </row>
    <row r="12">
      <c r="A12" s="35">
        <f>'FOUND DATA'!C15</f>
        <v>0.25</v>
      </c>
      <c r="B12" s="36">
        <f>'FOUND DATA'!D15</f>
        <v>1</v>
      </c>
      <c r="C12" s="35">
        <f>'FOUND DATA'!E15</f>
        <v>0.1</v>
      </c>
      <c r="D12" s="36">
        <f>'FOUND DATA'!F15</f>
        <v>1</v>
      </c>
      <c r="E12" s="35">
        <f>'FOUND DATA'!G15</f>
        <v>0.2</v>
      </c>
      <c r="F12" s="36">
        <f>'FOUND DATA'!H15</f>
        <v>3</v>
      </c>
    </row>
    <row r="13">
      <c r="A13" s="35">
        <f>'FOUND DATA'!C16</f>
        <v>0.25</v>
      </c>
      <c r="B13" s="36">
        <f>'FOUND DATA'!D16</f>
        <v>1</v>
      </c>
      <c r="C13" s="35">
        <f>'FOUND DATA'!E16</f>
        <v>0.1</v>
      </c>
      <c r="D13" s="36">
        <f>'FOUND DATA'!F16</f>
        <v>1</v>
      </c>
      <c r="E13" s="35">
        <f>'FOUND DATA'!G16</f>
        <v>0.2</v>
      </c>
      <c r="F13" s="36">
        <f>'FOUND DATA'!H16</f>
        <v>3</v>
      </c>
    </row>
    <row r="14">
      <c r="A14" s="35">
        <f>'FOUND DATA'!C17</f>
        <v>0.45</v>
      </c>
      <c r="B14" s="36">
        <f>'FOUND DATA'!D17</f>
        <v>11</v>
      </c>
      <c r="C14" s="35">
        <f>'FOUND DATA'!E17</f>
        <v>0.5</v>
      </c>
      <c r="D14" s="36">
        <f>'FOUND DATA'!F17</f>
        <v>0</v>
      </c>
      <c r="E14" s="35">
        <f>'FOUND DATA'!G17</f>
        <v>0</v>
      </c>
      <c r="F14" s="36">
        <f>'FOUND DATA'!H17</f>
        <v>0</v>
      </c>
    </row>
    <row r="15">
      <c r="A15" s="35">
        <f>'FOUND DATA'!C18</f>
        <v>0.15</v>
      </c>
      <c r="B15" s="36">
        <f>'FOUND DATA'!D18</f>
        <v>1</v>
      </c>
      <c r="C15" s="35">
        <f>'FOUND DATA'!E18</f>
        <v>0.1</v>
      </c>
      <c r="D15" s="36">
        <f>'FOUND DATA'!F18</f>
        <v>1</v>
      </c>
      <c r="E15" s="35">
        <f>'FOUND DATA'!G18</f>
        <v>0.22</v>
      </c>
      <c r="F15" s="36">
        <f>'FOUND DATA'!H18</f>
        <v>3</v>
      </c>
    </row>
    <row r="16">
      <c r="A16" s="35">
        <f>'FOUND DATA'!C19</f>
        <v>0.2</v>
      </c>
      <c r="B16" s="36">
        <f>'FOUND DATA'!D19</f>
        <v>0</v>
      </c>
      <c r="C16" s="35">
        <f>'FOUND DATA'!E19</f>
        <v>0</v>
      </c>
      <c r="D16" s="36">
        <f>'FOUND DATA'!F19</f>
        <v>0</v>
      </c>
      <c r="E16" s="35">
        <f>'FOUND DATA'!G19</f>
        <v>0</v>
      </c>
      <c r="F16" s="36">
        <f>'FOUND DATA'!H19</f>
        <v>4</v>
      </c>
    </row>
    <row r="17">
      <c r="A17" s="35">
        <f>'FOUND DATA'!C20</f>
        <v>0.15</v>
      </c>
      <c r="B17" s="36">
        <f>'FOUND DATA'!D20</f>
        <v>0</v>
      </c>
      <c r="C17" s="35">
        <f>'FOUND DATA'!E20</f>
        <v>0</v>
      </c>
      <c r="D17" s="36">
        <f>'FOUND DATA'!F20</f>
        <v>1</v>
      </c>
      <c r="E17" s="35">
        <f>'FOUND DATA'!G20</f>
        <v>0.25</v>
      </c>
      <c r="F17" s="36">
        <f>'FOUND DATA'!H20</f>
        <v>2</v>
      </c>
    </row>
    <row r="18">
      <c r="A18" s="35">
        <f>'FOUND DATA'!C21</f>
        <v>0.15</v>
      </c>
      <c r="B18" s="36">
        <f>'FOUND DATA'!D21</f>
        <v>0</v>
      </c>
      <c r="C18" s="35">
        <f>'FOUND DATA'!E21</f>
        <v>0</v>
      </c>
      <c r="D18" s="36">
        <f>'FOUND DATA'!F21</f>
        <v>1</v>
      </c>
      <c r="E18" s="35">
        <f>'FOUND DATA'!G21</f>
        <v>0.25</v>
      </c>
      <c r="F18" s="36">
        <f>'FOUND DATA'!H21</f>
        <v>2</v>
      </c>
    </row>
    <row r="19">
      <c r="A19" s="36">
        <f>'FOUND DATA'!C22</f>
        <v>0</v>
      </c>
      <c r="B19" s="36">
        <f>'FOUND DATA'!D22</f>
        <v>11</v>
      </c>
      <c r="C19" s="36">
        <f>'FOUND DATA'!E22</f>
        <v>0.95</v>
      </c>
      <c r="D19" s="36">
        <f>'FOUND DATA'!F22</f>
        <v>0</v>
      </c>
      <c r="E19" s="36">
        <f>'FOUND DATA'!G22</f>
        <v>0</v>
      </c>
      <c r="F19" s="36">
        <f>'FOUND DATA'!H22</f>
        <v>0</v>
      </c>
    </row>
    <row r="20">
      <c r="A20" s="36">
        <f>'FOUND DATA'!C23</f>
        <v>0.25</v>
      </c>
      <c r="B20" s="36">
        <f>'FOUND DATA'!D23</f>
        <v>1</v>
      </c>
      <c r="C20" s="36">
        <f>'FOUND DATA'!E23</f>
        <v>0.2</v>
      </c>
      <c r="D20" s="36">
        <f>'FOUND DATA'!F23</f>
        <v>0</v>
      </c>
      <c r="E20" s="36">
        <f>'FOUND DATA'!G23</f>
        <v>0</v>
      </c>
      <c r="F20" s="36">
        <f>'FOUND DATA'!H23</f>
        <v>2</v>
      </c>
    </row>
    <row r="21">
      <c r="A21" s="36">
        <f>'FOUND DATA'!C24</f>
        <v>0</v>
      </c>
      <c r="B21" s="36">
        <f>'FOUND DATA'!D24</f>
        <v>3</v>
      </c>
      <c r="C21" s="36">
        <f>'FOUND DATA'!E24</f>
        <v>0.84</v>
      </c>
      <c r="D21" s="36">
        <f>'FOUND DATA'!F24</f>
        <v>0</v>
      </c>
      <c r="E21" s="36">
        <f>'FOUND DATA'!G24</f>
        <v>0</v>
      </c>
      <c r="F21" s="36">
        <f>'FOUND DATA'!H24</f>
        <v>0</v>
      </c>
    </row>
    <row r="22">
      <c r="A22" s="36">
        <f>'FOUND DATA'!C25</f>
        <v>0.1</v>
      </c>
      <c r="B22" s="36">
        <f>'FOUND DATA'!D25</f>
        <v>0</v>
      </c>
      <c r="C22" s="36">
        <f>'FOUND DATA'!E25</f>
        <v>0</v>
      </c>
      <c r="D22" s="36">
        <f>'FOUND DATA'!F25</f>
        <v>1</v>
      </c>
      <c r="E22" s="36">
        <f>'FOUND DATA'!G25</f>
        <v>0.3</v>
      </c>
      <c r="F22" s="36">
        <f>'FOUND DATA'!H25</f>
        <v>3</v>
      </c>
    </row>
    <row r="23">
      <c r="A23" s="36">
        <f>'FOUND DATA'!C26</f>
        <v>0.15</v>
      </c>
      <c r="B23" s="36">
        <f>'FOUND DATA'!D26</f>
        <v>0</v>
      </c>
      <c r="C23" s="36">
        <f>'FOUND DATA'!E26</f>
        <v>0</v>
      </c>
      <c r="D23" s="36">
        <f>'FOUND DATA'!F26</f>
        <v>1</v>
      </c>
      <c r="E23" s="36">
        <f>'FOUND DATA'!G26</f>
        <v>0.3</v>
      </c>
      <c r="F23" s="36">
        <f>'FOUND DATA'!H26</f>
        <v>2</v>
      </c>
    </row>
    <row r="24">
      <c r="A24" s="36">
        <f>'FOUND DATA'!C27</f>
        <v>0.15</v>
      </c>
      <c r="B24" s="36">
        <f>'FOUND DATA'!D27</f>
        <v>0</v>
      </c>
      <c r="C24" s="36">
        <f>'FOUND DATA'!E27</f>
        <v>0</v>
      </c>
      <c r="D24" s="36">
        <f>'FOUND DATA'!F27</f>
        <v>1</v>
      </c>
      <c r="E24" s="36">
        <f>'FOUND DATA'!G27</f>
        <v>0.3</v>
      </c>
      <c r="F24" s="36">
        <f>'FOUND DATA'!H27</f>
        <v>2</v>
      </c>
    </row>
    <row r="25">
      <c r="A25" s="36">
        <f>'FOUND DATA'!C28</f>
        <v>0.15</v>
      </c>
      <c r="B25" s="36">
        <f>'FOUND DATA'!D28</f>
        <v>0</v>
      </c>
      <c r="C25" s="36">
        <f>'FOUND DATA'!E28</f>
        <v>0</v>
      </c>
      <c r="D25" s="36">
        <f>'FOUND DATA'!F28</f>
        <v>1</v>
      </c>
      <c r="E25" s="36">
        <f>'FOUND DATA'!G28</f>
        <v>0.2125</v>
      </c>
      <c r="F25" s="36">
        <f>'FOUND DATA'!H28</f>
        <v>3</v>
      </c>
    </row>
    <row r="26">
      <c r="A26" s="36">
        <f>'FOUND DATA'!C29</f>
        <v>0.5</v>
      </c>
      <c r="B26" s="36">
        <f>'FOUND DATA'!D29</f>
        <v>0</v>
      </c>
      <c r="C26" s="36">
        <f>'FOUND DATA'!E29</f>
        <v>0</v>
      </c>
      <c r="D26" s="36">
        <f>'FOUND DATA'!F29</f>
        <v>0</v>
      </c>
      <c r="E26" s="36">
        <f>'FOUND DATA'!G29</f>
        <v>0</v>
      </c>
      <c r="F26" s="36">
        <f>'FOUND DATA'!H29</f>
        <v>3</v>
      </c>
    </row>
    <row r="27">
      <c r="A27" s="36">
        <f>'FOUND DATA'!C30</f>
        <v>0.1</v>
      </c>
      <c r="B27" s="36">
        <f>'FOUND DATA'!D30</f>
        <v>2</v>
      </c>
      <c r="C27" s="36">
        <f>'FOUND DATA'!E30</f>
        <v>0.15</v>
      </c>
      <c r="D27" s="36">
        <f>'FOUND DATA'!F30</f>
        <v>1</v>
      </c>
      <c r="E27" s="36">
        <f>'FOUND DATA'!G30</f>
        <v>0.35</v>
      </c>
      <c r="F27" s="36">
        <f>'FOUND DATA'!H30</f>
        <v>1</v>
      </c>
    </row>
    <row r="28">
      <c r="A28" s="35">
        <f>'FOUND DATA'!C31</f>
        <v>0.1</v>
      </c>
      <c r="B28" s="36">
        <f>'FOUND DATA'!D31</f>
        <v>0</v>
      </c>
      <c r="C28" s="35">
        <f>'FOUND DATA'!E31</f>
        <v>0</v>
      </c>
      <c r="D28" s="36">
        <f>'FOUND DATA'!F31</f>
        <v>1</v>
      </c>
      <c r="E28" s="35">
        <f>'FOUND DATA'!G31</f>
        <v>0.25</v>
      </c>
      <c r="F28" s="36">
        <f>'FOUND DATA'!H31</f>
        <v>2</v>
      </c>
    </row>
    <row r="29">
      <c r="A29" s="35">
        <f>'FOUND DATA'!C32</f>
        <v>0</v>
      </c>
      <c r="B29" s="36">
        <f>'FOUND DATA'!D32</f>
        <v>0</v>
      </c>
      <c r="C29" s="35">
        <f>'FOUND DATA'!E32</f>
        <v>0</v>
      </c>
      <c r="D29" s="36">
        <f>'FOUND DATA'!F32</f>
        <v>1</v>
      </c>
      <c r="E29" s="35">
        <f>'FOUND DATA'!G32</f>
        <v>0.2</v>
      </c>
      <c r="F29" s="36">
        <f>'FOUND DATA'!H32</f>
        <v>3</v>
      </c>
    </row>
    <row r="30">
      <c r="A30" s="35">
        <f>'FOUND DATA'!C33</f>
        <v>0.05</v>
      </c>
      <c r="B30" s="36">
        <f>'FOUND DATA'!D33</f>
        <v>0</v>
      </c>
      <c r="C30" s="35">
        <f>'FOUND DATA'!E33</f>
        <v>0</v>
      </c>
      <c r="D30" s="36">
        <f>'FOUND DATA'!F33</f>
        <v>0</v>
      </c>
      <c r="E30" s="35">
        <f>'FOUND DATA'!G33</f>
        <v>0</v>
      </c>
      <c r="F30" s="36">
        <f>'FOUND DATA'!H33</f>
        <v>3</v>
      </c>
    </row>
    <row r="31">
      <c r="A31" s="35">
        <f>'FOUND DATA'!C34</f>
        <v>0.19</v>
      </c>
      <c r="B31" s="36">
        <f>'FOUND DATA'!D34</f>
        <v>0</v>
      </c>
      <c r="C31" s="35">
        <f>'FOUND DATA'!E34</f>
        <v>0</v>
      </c>
      <c r="D31" s="36">
        <f>'FOUND DATA'!F34</f>
        <v>0</v>
      </c>
      <c r="E31" s="35">
        <f>'FOUND DATA'!G34</f>
        <v>0</v>
      </c>
      <c r="F31" s="36">
        <f>'FOUND DATA'!H34</f>
        <v>3</v>
      </c>
    </row>
    <row r="32">
      <c r="A32" s="35">
        <f>'FOUND DATA'!C35</f>
        <v>0.08</v>
      </c>
      <c r="B32" s="36">
        <f>'FOUND DATA'!D35</f>
        <v>1</v>
      </c>
      <c r="C32" s="35">
        <f>'FOUND DATA'!E35</f>
        <v>0.15</v>
      </c>
      <c r="D32" s="36">
        <f>'FOUND DATA'!F35</f>
        <v>1</v>
      </c>
      <c r="E32" s="35">
        <f>'FOUND DATA'!G35</f>
        <v>0.3</v>
      </c>
      <c r="F32" s="36">
        <f>'FOUND DATA'!H35</f>
        <v>2</v>
      </c>
    </row>
    <row r="33">
      <c r="A33" s="35">
        <f>'FOUND DATA'!C36</f>
        <v>0.27</v>
      </c>
      <c r="B33" s="36">
        <f>'FOUND DATA'!D36</f>
        <v>0</v>
      </c>
      <c r="C33" s="35">
        <f>'FOUND DATA'!E36</f>
        <v>0</v>
      </c>
      <c r="D33" s="36">
        <f>'FOUND DATA'!F36</f>
        <v>1</v>
      </c>
      <c r="E33" s="35">
        <f>'FOUND DATA'!G36</f>
        <v>0.3</v>
      </c>
      <c r="F33" s="36">
        <f>'FOUND DATA'!H36</f>
        <v>2</v>
      </c>
    </row>
    <row r="34">
      <c r="A34" s="35">
        <f>'FOUND DATA'!C37</f>
        <v>0.4</v>
      </c>
      <c r="B34" s="36">
        <f>'FOUND DATA'!D37</f>
        <v>2</v>
      </c>
      <c r="C34" s="35">
        <f>'FOUND DATA'!E37</f>
        <v>0.3</v>
      </c>
      <c r="D34" s="36">
        <f>'FOUND DATA'!F37</f>
        <v>0</v>
      </c>
      <c r="E34" s="35">
        <f>'FOUND DATA'!G37</f>
        <v>0</v>
      </c>
      <c r="F34" s="36">
        <f>'FOUND DATA'!H37</f>
        <v>2</v>
      </c>
    </row>
    <row r="35">
      <c r="A35" s="35">
        <f>'FOUND DATA'!C38</f>
        <v>0.5</v>
      </c>
      <c r="B35" s="36">
        <f>'FOUND DATA'!D38</f>
        <v>0</v>
      </c>
      <c r="C35" s="35">
        <f>'FOUND DATA'!E38</f>
        <v>0</v>
      </c>
      <c r="D35" s="36">
        <f>'FOUND DATA'!F38</f>
        <v>0</v>
      </c>
      <c r="E35" s="35">
        <f>'FOUND DATA'!G38</f>
        <v>0</v>
      </c>
      <c r="F35" s="36">
        <f>'FOUND DATA'!H38</f>
        <v>2</v>
      </c>
    </row>
    <row r="36">
      <c r="A36" s="35">
        <f>'FOUND DATA'!C39</f>
        <v>0.7</v>
      </c>
      <c r="B36" s="36">
        <f>'FOUND DATA'!D39</f>
        <v>1</v>
      </c>
      <c r="C36" s="35">
        <f>'FOUND DATA'!E39</f>
        <v>0.3</v>
      </c>
      <c r="D36" s="36">
        <f>'FOUND DATA'!F39</f>
        <v>0</v>
      </c>
      <c r="E36" s="35">
        <f>'FOUND DATA'!G39</f>
        <v>0</v>
      </c>
      <c r="F36" s="36">
        <f>'FOUND DATA'!H39</f>
        <v>0</v>
      </c>
    </row>
    <row r="37">
      <c r="A37" s="35">
        <f>'FOUND DATA'!C40</f>
        <v>0.15</v>
      </c>
      <c r="B37" s="36">
        <f>'FOUND DATA'!D40</f>
        <v>3</v>
      </c>
      <c r="C37" s="35">
        <f>'FOUND DATA'!E40</f>
        <v>0.3</v>
      </c>
      <c r="D37" s="36">
        <f>'FOUND DATA'!F40</f>
        <v>1</v>
      </c>
      <c r="E37" s="35">
        <f>'FOUND DATA'!G40</f>
        <v>0.2</v>
      </c>
      <c r="F37" s="36">
        <f>'FOUND DATA'!H40</f>
        <v>1</v>
      </c>
    </row>
    <row r="38">
      <c r="A38" s="35">
        <f>'FOUND DATA'!C41</f>
        <v>0.15</v>
      </c>
      <c r="B38" s="36">
        <f>'FOUND DATA'!D41</f>
        <v>3</v>
      </c>
      <c r="C38" s="35">
        <f>'FOUND DATA'!E41</f>
        <v>0.3</v>
      </c>
      <c r="D38" s="36">
        <f>'FOUND DATA'!F41</f>
        <v>1</v>
      </c>
      <c r="E38" s="35">
        <f>'FOUND DATA'!G41</f>
        <v>0.2</v>
      </c>
      <c r="F38" s="36">
        <f>'FOUND DATA'!H41</f>
        <v>1</v>
      </c>
    </row>
    <row r="39">
      <c r="A39" s="35">
        <f>'FOUND DATA'!C42</f>
        <v>0.15</v>
      </c>
      <c r="B39" s="36">
        <f>'FOUND DATA'!D42</f>
        <v>3</v>
      </c>
      <c r="C39" s="35">
        <f>'FOUND DATA'!E42</f>
        <v>0.3</v>
      </c>
      <c r="D39" s="36">
        <f>'FOUND DATA'!F42</f>
        <v>1</v>
      </c>
      <c r="E39" s="35">
        <f>'FOUND DATA'!G42</f>
        <v>0.2</v>
      </c>
      <c r="F39" s="36">
        <f>'FOUND DATA'!H42</f>
        <v>1</v>
      </c>
    </row>
    <row r="40">
      <c r="A40" s="35">
        <f>'FOUND DATA'!C43</f>
        <v>0.5</v>
      </c>
      <c r="B40" s="36">
        <f>'FOUND DATA'!D43</f>
        <v>0</v>
      </c>
      <c r="C40" s="35">
        <f>'FOUND DATA'!E43</f>
        <v>0</v>
      </c>
      <c r="D40" s="36">
        <f>'FOUND DATA'!F43</f>
        <v>1</v>
      </c>
      <c r="E40" s="35">
        <f>'FOUND DATA'!G43</f>
        <v>0.3</v>
      </c>
      <c r="F40" s="36">
        <f>'FOUND DATA'!H43</f>
        <v>1</v>
      </c>
    </row>
    <row r="41">
      <c r="A41" s="35">
        <f>'FOUND DATA'!C44</f>
        <v>0.55</v>
      </c>
      <c r="B41" s="36">
        <f>'FOUND DATA'!D44</f>
        <v>0</v>
      </c>
      <c r="C41" s="35">
        <f>'FOUND DATA'!E44</f>
        <v>0</v>
      </c>
      <c r="D41" s="36">
        <f>'FOUND DATA'!F44</f>
        <v>0</v>
      </c>
      <c r="E41" s="35">
        <f>'FOUND DATA'!G44</f>
        <v>0</v>
      </c>
      <c r="F41" s="36">
        <f>'FOUND DATA'!H44</f>
        <v>2</v>
      </c>
    </row>
    <row r="42">
      <c r="A42" s="35">
        <f>'FOUND DATA'!C45</f>
        <v>0.22</v>
      </c>
      <c r="B42" s="36">
        <f>'FOUND DATA'!D45</f>
        <v>0</v>
      </c>
      <c r="C42" s="35">
        <f>'FOUND DATA'!E45</f>
        <v>0</v>
      </c>
      <c r="D42" s="36">
        <f>'FOUND DATA'!F45</f>
        <v>1</v>
      </c>
      <c r="E42" s="35">
        <f>'FOUND DATA'!G45</f>
        <v>0.24</v>
      </c>
      <c r="F42" s="36">
        <f>'FOUND DATA'!H45</f>
        <v>2</v>
      </c>
    </row>
    <row r="43">
      <c r="A43" s="35">
        <f>'FOUND DATA'!C46</f>
        <v>0</v>
      </c>
      <c r="B43" s="36">
        <f>'FOUND DATA'!D46</f>
        <v>4</v>
      </c>
      <c r="C43" s="35">
        <f>'FOUND DATA'!E46</f>
        <v>0.6</v>
      </c>
      <c r="D43" s="36">
        <f>'FOUND DATA'!F46</f>
        <v>0</v>
      </c>
      <c r="E43" s="35">
        <f>'FOUND DATA'!G46</f>
        <v>0</v>
      </c>
      <c r="F43" s="36">
        <f>'FOUND DATA'!H46</f>
        <v>0</v>
      </c>
    </row>
    <row r="44">
      <c r="A44" s="35">
        <f>'FOUND DATA'!C47</f>
        <v>0.6</v>
      </c>
      <c r="B44" s="36">
        <f>'FOUND DATA'!D47</f>
        <v>1</v>
      </c>
      <c r="C44" s="35">
        <f>'FOUND DATA'!E47</f>
        <v>0.4</v>
      </c>
      <c r="D44" s="36">
        <f>'FOUND DATA'!F47</f>
        <v>0</v>
      </c>
      <c r="E44" s="35">
        <f>'FOUND DATA'!G47</f>
        <v>0</v>
      </c>
      <c r="F44" s="36">
        <f>'FOUND DATA'!H47</f>
        <v>0</v>
      </c>
    </row>
    <row r="45">
      <c r="A45" s="35">
        <f>'FOUND DATA'!C48</f>
        <v>0.05</v>
      </c>
      <c r="B45" s="36">
        <f>'FOUND DATA'!D48</f>
        <v>1</v>
      </c>
      <c r="C45" s="35">
        <f>'FOUND DATA'!E48</f>
        <v>0.35</v>
      </c>
      <c r="D45" s="36">
        <f>'FOUND DATA'!F48</f>
        <v>0</v>
      </c>
      <c r="E45" s="35">
        <f>'FOUND DATA'!G48</f>
        <v>0</v>
      </c>
      <c r="F45" s="36">
        <f>'FOUND DATA'!H48</f>
        <v>3</v>
      </c>
    </row>
    <row r="46">
      <c r="A46" s="35">
        <f>'FOUND DATA'!C49</f>
        <v>0.25</v>
      </c>
      <c r="B46" s="36">
        <f>'FOUND DATA'!D49</f>
        <v>0</v>
      </c>
      <c r="C46" s="35">
        <f>'FOUND DATA'!E49</f>
        <v>0</v>
      </c>
      <c r="D46" s="36">
        <f>'FOUND DATA'!F49</f>
        <v>1</v>
      </c>
      <c r="E46" s="35">
        <f>'FOUND DATA'!G49</f>
        <v>0.35</v>
      </c>
      <c r="F46" s="36">
        <f>'FOUND DATA'!H49</f>
        <v>2</v>
      </c>
    </row>
    <row r="47">
      <c r="A47" s="35">
        <f>'FOUND DATA'!C50</f>
        <v>0.15</v>
      </c>
      <c r="B47" s="36">
        <f>'FOUND DATA'!D50</f>
        <v>0</v>
      </c>
      <c r="C47" s="35">
        <f>'FOUND DATA'!E50</f>
        <v>0</v>
      </c>
      <c r="D47" s="36">
        <f>'FOUND DATA'!F50</f>
        <v>1</v>
      </c>
      <c r="E47" s="35">
        <f>'FOUND DATA'!G50</f>
        <v>0.25</v>
      </c>
      <c r="F47" s="36">
        <f>'FOUND DATA'!H50</f>
        <v>2</v>
      </c>
    </row>
    <row r="48">
      <c r="A48" s="35">
        <f>'FOUND DATA'!C51</f>
        <v>0.15</v>
      </c>
      <c r="B48" s="36">
        <f>'FOUND DATA'!D51</f>
        <v>5</v>
      </c>
      <c r="C48" s="35">
        <f>'FOUND DATA'!E51</f>
        <v>0.3</v>
      </c>
      <c r="D48" s="36">
        <f>'FOUND DATA'!F51</f>
        <v>0</v>
      </c>
      <c r="E48" s="35">
        <f>'FOUND DATA'!G51</f>
        <v>0</v>
      </c>
      <c r="F48" s="36">
        <f>'FOUND DATA'!H51</f>
        <v>3</v>
      </c>
    </row>
    <row r="49">
      <c r="A49" s="35">
        <f>'FOUND DATA'!C52</f>
        <v>0.15</v>
      </c>
      <c r="B49" s="36">
        <f>'FOUND DATA'!D52</f>
        <v>0</v>
      </c>
      <c r="C49" s="35">
        <f>'FOUND DATA'!E52</f>
        <v>0</v>
      </c>
      <c r="D49" s="36">
        <f>'FOUND DATA'!F52</f>
        <v>1</v>
      </c>
      <c r="E49" s="35">
        <f>'FOUND DATA'!G52</f>
        <v>0.3</v>
      </c>
      <c r="F49" s="36">
        <f>'FOUND DATA'!H52</f>
        <v>2</v>
      </c>
    </row>
    <row r="50">
      <c r="A50" s="35">
        <f>'FOUND DATA'!C53</f>
        <v>0.3</v>
      </c>
      <c r="B50" s="36">
        <f>'FOUND DATA'!D53</f>
        <v>0</v>
      </c>
      <c r="C50" s="35">
        <f>'FOUND DATA'!E53</f>
        <v>0</v>
      </c>
      <c r="D50" s="36">
        <f>'FOUND DATA'!F53</f>
        <v>1</v>
      </c>
      <c r="E50" s="35">
        <f>'FOUND DATA'!G53</f>
        <v>0.3</v>
      </c>
      <c r="F50" s="36">
        <f>'FOUND DATA'!H53</f>
        <v>2</v>
      </c>
    </row>
    <row r="51">
      <c r="A51" s="35">
        <f>'FOUND DATA'!C54</f>
        <v>0.1</v>
      </c>
      <c r="B51" s="36">
        <f>'FOUND DATA'!D54</f>
        <v>0</v>
      </c>
      <c r="C51" s="35">
        <f>'FOUND DATA'!E54</f>
        <v>0</v>
      </c>
      <c r="D51" s="36">
        <f>'FOUND DATA'!F54</f>
        <v>1</v>
      </c>
      <c r="E51" s="35">
        <f>'FOUND DATA'!G54</f>
        <v>0.45</v>
      </c>
      <c r="F51" s="36">
        <f>'FOUND DATA'!H54</f>
        <v>2</v>
      </c>
    </row>
    <row r="52">
      <c r="A52" s="35">
        <f>'FOUND DATA'!C55</f>
        <v>0.65</v>
      </c>
      <c r="B52" s="36">
        <f>'FOUND DATA'!D55</f>
        <v>3</v>
      </c>
      <c r="C52" s="35">
        <f>'FOUND DATA'!E55</f>
        <v>0.15</v>
      </c>
      <c r="D52" s="36">
        <f>'FOUND DATA'!F55</f>
        <v>0</v>
      </c>
      <c r="E52" s="35">
        <f>'FOUND DATA'!G55</f>
        <v>0</v>
      </c>
      <c r="F52" s="36">
        <f>'FOUND DATA'!H55</f>
        <v>0</v>
      </c>
    </row>
    <row r="53">
      <c r="A53" s="35">
        <f>'FOUND DATA'!C56</f>
        <v>0.15</v>
      </c>
      <c r="B53" s="36">
        <f>'FOUND DATA'!D56</f>
        <v>0</v>
      </c>
      <c r="C53" s="35">
        <f>'FOUND DATA'!E56</f>
        <v>0</v>
      </c>
      <c r="D53" s="36">
        <f>'FOUND DATA'!F56</f>
        <v>1</v>
      </c>
      <c r="E53" s="35">
        <f>'FOUND DATA'!G56</f>
        <v>0.35</v>
      </c>
      <c r="F53" s="36">
        <f>'FOUND DATA'!H56</f>
        <v>0</v>
      </c>
    </row>
    <row r="54">
      <c r="A54" s="35">
        <f>'FOUND DATA'!C57</f>
        <v>0.15</v>
      </c>
      <c r="B54" s="36">
        <f>'FOUND DATA'!D57</f>
        <v>0</v>
      </c>
      <c r="C54" s="35">
        <f>'FOUND DATA'!E57</f>
        <v>0</v>
      </c>
      <c r="D54" s="36">
        <f>'FOUND DATA'!F57</f>
        <v>1</v>
      </c>
      <c r="E54" s="35">
        <f>'FOUND DATA'!G57</f>
        <v>0.3</v>
      </c>
      <c r="F54" s="36">
        <f>'FOUND DATA'!H57</f>
        <v>2</v>
      </c>
    </row>
    <row r="55">
      <c r="A55" s="35">
        <f>'FOUND DATA'!C58</f>
        <v>0.2</v>
      </c>
      <c r="B55" s="36">
        <f>'FOUND DATA'!D58</f>
        <v>0</v>
      </c>
      <c r="C55" s="35">
        <f>'FOUND DATA'!E58</f>
        <v>0</v>
      </c>
      <c r="D55" s="36">
        <f>'FOUND DATA'!F58</f>
        <v>1</v>
      </c>
      <c r="E55" s="35">
        <f>'FOUND DATA'!G58</f>
        <v>0.4</v>
      </c>
      <c r="F55" s="36">
        <f>'FOUND DATA'!H58</f>
        <v>2</v>
      </c>
    </row>
    <row r="56">
      <c r="A56" s="35">
        <f>'FOUND DATA'!C59</f>
        <v>0.1</v>
      </c>
      <c r="B56" s="36">
        <f>'FOUND DATA'!D59</f>
        <v>0</v>
      </c>
      <c r="C56" s="35">
        <f>'FOUND DATA'!E59</f>
        <v>0</v>
      </c>
      <c r="D56" s="36">
        <f>'FOUND DATA'!F59</f>
        <v>1</v>
      </c>
      <c r="E56" s="35">
        <f>'FOUND DATA'!G59</f>
        <v>0.4</v>
      </c>
      <c r="F56" s="36">
        <f>'FOUND DATA'!H59</f>
        <v>2</v>
      </c>
    </row>
    <row r="57">
      <c r="A57" s="35">
        <f>'FOUND DATA'!C60</f>
        <v>0.1</v>
      </c>
      <c r="B57" s="36">
        <f>'FOUND DATA'!D60</f>
        <v>0</v>
      </c>
      <c r="C57" s="35">
        <f>'FOUND DATA'!E60</f>
        <v>0</v>
      </c>
      <c r="D57" s="36">
        <f>'FOUND DATA'!F60</f>
        <v>1</v>
      </c>
      <c r="E57" s="35">
        <f>'FOUND DATA'!G60</f>
        <v>0.4</v>
      </c>
      <c r="F57" s="36">
        <f>'FOUND DATA'!H60</f>
        <v>2</v>
      </c>
    </row>
    <row r="58">
      <c r="A58" s="35">
        <f>'FOUND DATA'!C61</f>
        <v>0.1</v>
      </c>
      <c r="B58" s="36">
        <f>'FOUND DATA'!D61</f>
        <v>0</v>
      </c>
      <c r="C58" s="35">
        <f>'FOUND DATA'!E61</f>
        <v>0</v>
      </c>
      <c r="D58" s="36">
        <f>'FOUND DATA'!F61</f>
        <v>1</v>
      </c>
      <c r="E58" s="35">
        <f>'FOUND DATA'!G61</f>
        <v>0.3</v>
      </c>
      <c r="F58" s="36">
        <f>'FOUND DATA'!H61</f>
        <v>2</v>
      </c>
    </row>
    <row r="59">
      <c r="A59" s="35">
        <f>'FOUND DATA'!C62</f>
        <v>0.2</v>
      </c>
      <c r="B59" s="36">
        <f>'FOUND DATA'!D62</f>
        <v>1</v>
      </c>
      <c r="C59" s="35">
        <f>'FOUND DATA'!E62</f>
        <v>0.1</v>
      </c>
      <c r="D59" s="36">
        <f>'FOUND DATA'!F62</f>
        <v>1</v>
      </c>
      <c r="E59" s="35">
        <f>'FOUND DATA'!G62</f>
        <v>0.3</v>
      </c>
      <c r="F59" s="36">
        <f>'FOUND DATA'!H62</f>
        <v>2</v>
      </c>
    </row>
    <row r="60">
      <c r="A60" s="35">
        <f>'FOUND DATA'!C63</f>
        <v>0.2</v>
      </c>
      <c r="B60" s="36">
        <f>'FOUND DATA'!D63</f>
        <v>1</v>
      </c>
      <c r="C60" s="35">
        <f>'FOUND DATA'!E63</f>
        <v>0.1</v>
      </c>
      <c r="D60" s="36">
        <f>'FOUND DATA'!F63</f>
        <v>1</v>
      </c>
      <c r="E60" s="35">
        <f>'FOUND DATA'!G63</f>
        <v>0.3</v>
      </c>
      <c r="F60" s="36">
        <f>'FOUND DATA'!H63</f>
        <v>2</v>
      </c>
    </row>
    <row r="61">
      <c r="A61" s="35">
        <f>'FOUND DATA'!C64</f>
        <v>0.075</v>
      </c>
      <c r="B61" s="36">
        <f>'FOUND DATA'!D64</f>
        <v>1</v>
      </c>
      <c r="C61" s="35">
        <f>'FOUND DATA'!E64</f>
        <v>0.4</v>
      </c>
      <c r="D61" s="36">
        <f>'FOUND DATA'!F64</f>
        <v>0</v>
      </c>
      <c r="E61" s="35">
        <f>'FOUND DATA'!G64</f>
        <v>0</v>
      </c>
      <c r="F61" s="36">
        <f>'FOUND DATA'!H64</f>
        <v>2</v>
      </c>
    </row>
    <row r="62">
      <c r="A62" s="35">
        <f>'FOUND DATA'!C65</f>
        <v>0.2</v>
      </c>
      <c r="B62" s="36">
        <f>'FOUND DATA'!D65</f>
        <v>0</v>
      </c>
      <c r="C62" s="35">
        <f>'FOUND DATA'!E65</f>
        <v>0</v>
      </c>
      <c r="D62" s="36">
        <f>'FOUND DATA'!F65</f>
        <v>1</v>
      </c>
      <c r="E62" s="35">
        <f>'FOUND DATA'!G65</f>
        <v>0.35</v>
      </c>
      <c r="F62" s="36">
        <f>'FOUND DATA'!H65</f>
        <v>3</v>
      </c>
    </row>
    <row r="63">
      <c r="A63" s="35">
        <f>'FOUND DATA'!C66</f>
        <v>0</v>
      </c>
      <c r="B63" s="36">
        <f>'FOUND DATA'!D66</f>
        <v>0</v>
      </c>
      <c r="C63" s="35">
        <f>'FOUND DATA'!E66</f>
        <v>0</v>
      </c>
      <c r="D63" s="36">
        <f>'FOUND DATA'!F66</f>
        <v>1</v>
      </c>
      <c r="E63" s="35">
        <f>'FOUND DATA'!G66</f>
        <v>0.3</v>
      </c>
      <c r="F63" s="36">
        <f>'FOUND DATA'!H66</f>
        <v>2</v>
      </c>
    </row>
    <row r="64">
      <c r="A64" s="35">
        <f>'FOUND DATA'!C67</f>
        <v>0</v>
      </c>
      <c r="B64" s="36">
        <f>'FOUND DATA'!D67</f>
        <v>0</v>
      </c>
      <c r="C64" s="35">
        <f>'FOUND DATA'!E67</f>
        <v>0</v>
      </c>
      <c r="D64" s="36">
        <f>'FOUND DATA'!F67</f>
        <v>1</v>
      </c>
      <c r="E64" s="35">
        <f>'FOUND DATA'!G67</f>
        <v>0.35</v>
      </c>
      <c r="F64" s="36">
        <f>'FOUND DATA'!H67</f>
        <v>2</v>
      </c>
    </row>
    <row r="65">
      <c r="A65" s="35">
        <f>'FOUND DATA'!C68</f>
        <v>0.1</v>
      </c>
      <c r="B65" s="36">
        <f>'FOUND DATA'!D68</f>
        <v>0</v>
      </c>
      <c r="C65" s="35">
        <f>'FOUND DATA'!E68</f>
        <v>0</v>
      </c>
      <c r="D65" s="36">
        <f>'FOUND DATA'!F68</f>
        <v>1</v>
      </c>
      <c r="E65" s="35">
        <f>'FOUND DATA'!G68</f>
        <v>0.3</v>
      </c>
      <c r="F65" s="36">
        <f>'FOUND DATA'!H68</f>
        <v>3</v>
      </c>
    </row>
    <row r="66">
      <c r="A66" s="35">
        <f>'FOUND DATA'!C69</f>
        <v>0.15</v>
      </c>
      <c r="B66" s="36">
        <f>'FOUND DATA'!D69</f>
        <v>0</v>
      </c>
      <c r="C66" s="35">
        <f>'FOUND DATA'!E69</f>
        <v>0</v>
      </c>
      <c r="D66" s="36">
        <f>'FOUND DATA'!F69</f>
        <v>1</v>
      </c>
      <c r="E66" s="35">
        <f>'FOUND DATA'!G69</f>
        <v>0.3</v>
      </c>
      <c r="F66" s="36">
        <f>'FOUND DATA'!H69</f>
        <v>2</v>
      </c>
    </row>
    <row r="67">
      <c r="A67" s="35">
        <f>'FOUND DATA'!C70</f>
        <v>0.15</v>
      </c>
      <c r="B67" s="36">
        <f>'FOUND DATA'!D70</f>
        <v>0</v>
      </c>
      <c r="C67" s="35">
        <f>'FOUND DATA'!E70</f>
        <v>0</v>
      </c>
      <c r="D67" s="36">
        <f>'FOUND DATA'!F70</f>
        <v>1</v>
      </c>
      <c r="E67" s="35">
        <f>'FOUND DATA'!G70</f>
        <v>0.35</v>
      </c>
      <c r="F67" s="36">
        <f>'FOUND DATA'!H70</f>
        <v>2</v>
      </c>
    </row>
    <row r="68">
      <c r="A68" s="35">
        <f>'FOUND DATA'!C71</f>
        <v>0</v>
      </c>
      <c r="B68" s="36">
        <f>'FOUND DATA'!D71</f>
        <v>0</v>
      </c>
      <c r="C68" s="35">
        <f>'FOUND DATA'!E71</f>
        <v>0</v>
      </c>
      <c r="D68" s="36">
        <f>'FOUND DATA'!F71</f>
        <v>1</v>
      </c>
      <c r="E68" s="35">
        <f>'FOUND DATA'!G71</f>
        <v>0.3</v>
      </c>
      <c r="F68" s="36">
        <f>'FOUND DATA'!H71</f>
        <v>2</v>
      </c>
    </row>
    <row r="69">
      <c r="A69" s="35">
        <f>'FOUND DATA'!C72</f>
        <v>0.1</v>
      </c>
      <c r="B69" s="36">
        <f>'FOUND DATA'!D72</f>
        <v>3</v>
      </c>
      <c r="C69" s="35">
        <f>'FOUND DATA'!E72</f>
        <v>0.15</v>
      </c>
      <c r="D69" s="36">
        <f>'FOUND DATA'!F72</f>
        <v>1</v>
      </c>
      <c r="E69" s="35">
        <f>'FOUND DATA'!G72</f>
        <v>0.25</v>
      </c>
      <c r="F69" s="36">
        <f>'FOUND DATA'!H72</f>
        <v>2</v>
      </c>
    </row>
    <row r="70">
      <c r="A70" s="35">
        <f>'FOUND DATA'!C73</f>
        <v>0.2</v>
      </c>
      <c r="B70" s="36">
        <f>'FOUND DATA'!D73</f>
        <v>0</v>
      </c>
      <c r="C70" s="35">
        <f>'FOUND DATA'!E73</f>
        <v>0</v>
      </c>
      <c r="D70" s="36">
        <f>'FOUND DATA'!F73</f>
        <v>1</v>
      </c>
      <c r="E70" s="35">
        <f>'FOUND DATA'!G73</f>
        <v>0.35</v>
      </c>
      <c r="F70" s="36">
        <f>'FOUND DATA'!H73</f>
        <v>3</v>
      </c>
    </row>
    <row r="71">
      <c r="A71" s="35">
        <f>'FOUND DATA'!C74</f>
        <v>0</v>
      </c>
      <c r="B71" s="36">
        <f>'FOUND DATA'!D74</f>
        <v>0</v>
      </c>
      <c r="C71" s="35">
        <f>'FOUND DATA'!E74</f>
        <v>0</v>
      </c>
      <c r="D71" s="36">
        <f>'FOUND DATA'!F74</f>
        <v>1</v>
      </c>
      <c r="E71" s="35">
        <f>'FOUND DATA'!G74</f>
        <v>0.3</v>
      </c>
      <c r="F71" s="36">
        <f>'FOUND DATA'!H74</f>
        <v>2</v>
      </c>
    </row>
    <row r="72">
      <c r="A72" s="35">
        <f>'FOUND DATA'!C75</f>
        <v>0.1</v>
      </c>
      <c r="B72" s="36">
        <f>'FOUND DATA'!D75</f>
        <v>0</v>
      </c>
      <c r="C72" s="35">
        <f>'FOUND DATA'!E75</f>
        <v>0</v>
      </c>
      <c r="D72" s="36">
        <f>'FOUND DATA'!F75</f>
        <v>1</v>
      </c>
      <c r="E72" s="35">
        <f>'FOUND DATA'!G75</f>
        <v>0.3</v>
      </c>
      <c r="F72" s="36">
        <f>'FOUND DATA'!H75</f>
        <v>3</v>
      </c>
    </row>
    <row r="73">
      <c r="A73" s="35">
        <f>'FOUND DATA'!C76</f>
        <v>0.4</v>
      </c>
      <c r="B73" s="36">
        <f>'FOUND DATA'!D76</f>
        <v>0</v>
      </c>
      <c r="C73" s="35">
        <f>'FOUND DATA'!E76</f>
        <v>0</v>
      </c>
      <c r="D73" s="36">
        <f>'FOUND DATA'!F76</f>
        <v>0</v>
      </c>
      <c r="E73" s="35">
        <f>'FOUND DATA'!G76</f>
        <v>0</v>
      </c>
      <c r="F73" s="36">
        <f>'FOUND DATA'!H76</f>
        <v>3</v>
      </c>
    </row>
    <row r="74">
      <c r="A74" s="35">
        <f>'FOUND DATA'!C77</f>
        <v>0.1</v>
      </c>
      <c r="B74" s="36">
        <f>'FOUND DATA'!D77</f>
        <v>0</v>
      </c>
      <c r="C74" s="35">
        <f>'FOUND DATA'!E77</f>
        <v>0</v>
      </c>
      <c r="D74" s="36">
        <f>'FOUND DATA'!F77</f>
        <v>1</v>
      </c>
      <c r="E74" s="35">
        <f>'FOUND DATA'!G77</f>
        <v>0.4</v>
      </c>
      <c r="F74" s="36">
        <f>'FOUND DATA'!H77</f>
        <v>2</v>
      </c>
    </row>
    <row r="75">
      <c r="A75" s="35">
        <f>'FOUND DATA'!C78</f>
        <v>0.1</v>
      </c>
      <c r="B75" s="36">
        <f>'FOUND DATA'!D78</f>
        <v>3</v>
      </c>
      <c r="C75" s="35">
        <f>'FOUND DATA'!E78</f>
        <v>0.15</v>
      </c>
      <c r="D75" s="36">
        <f>'FOUND DATA'!F78</f>
        <v>1</v>
      </c>
      <c r="E75" s="35">
        <f>'FOUND DATA'!G78</f>
        <v>0.25</v>
      </c>
      <c r="F75" s="36">
        <f>'FOUND DATA'!H78</f>
        <v>2</v>
      </c>
    </row>
    <row r="76">
      <c r="A76" s="35">
        <f>'FOUND DATA'!C79</f>
        <v>0.4</v>
      </c>
      <c r="B76" s="36">
        <f>'FOUND DATA'!D79</f>
        <v>0</v>
      </c>
      <c r="C76" s="35">
        <f>'FOUND DATA'!E79</f>
        <v>0</v>
      </c>
      <c r="D76" s="36">
        <f>'FOUND DATA'!F79</f>
        <v>0</v>
      </c>
      <c r="E76" s="35">
        <f>'FOUND DATA'!G79</f>
        <v>0</v>
      </c>
      <c r="F76" s="36">
        <f>'FOUND DATA'!H79</f>
        <v>3</v>
      </c>
    </row>
    <row r="77">
      <c r="A77" s="35">
        <f>'FOUND DATA'!C80</f>
        <v>0.15</v>
      </c>
      <c r="B77" s="36">
        <f>'FOUND DATA'!D80</f>
        <v>0</v>
      </c>
      <c r="C77" s="35">
        <f>'FOUND DATA'!E80</f>
        <v>0</v>
      </c>
      <c r="D77" s="36">
        <f>'FOUND DATA'!F80</f>
        <v>1</v>
      </c>
      <c r="E77" s="35">
        <f>'FOUND DATA'!G80</f>
        <v>0.35</v>
      </c>
      <c r="F77" s="36">
        <f>'FOUND DATA'!H80</f>
        <v>3</v>
      </c>
    </row>
    <row r="78">
      <c r="A78" s="35">
        <f>'FOUND DATA'!C81</f>
        <v>0.15</v>
      </c>
      <c r="B78" s="36">
        <f>'FOUND DATA'!D81</f>
        <v>0</v>
      </c>
      <c r="C78" s="35">
        <f>'FOUND DATA'!E81</f>
        <v>0</v>
      </c>
      <c r="D78" s="36">
        <f>'FOUND DATA'!F81</f>
        <v>1</v>
      </c>
      <c r="E78" s="35">
        <f>'FOUND DATA'!G81</f>
        <v>0.3</v>
      </c>
      <c r="F78" s="36">
        <f>'FOUND DATA'!H81</f>
        <v>2</v>
      </c>
    </row>
    <row r="79">
      <c r="A79" s="35">
        <f>'FOUND DATA'!C82</f>
        <v>0.1</v>
      </c>
      <c r="B79" s="36">
        <f>'FOUND DATA'!D82</f>
        <v>0</v>
      </c>
      <c r="C79" s="35">
        <f>'FOUND DATA'!E82</f>
        <v>0</v>
      </c>
      <c r="D79" s="36">
        <f>'FOUND DATA'!F82</f>
        <v>1</v>
      </c>
      <c r="E79" s="35">
        <f>'FOUND DATA'!G82</f>
        <v>0.35</v>
      </c>
      <c r="F79" s="36">
        <f>'FOUND DATA'!H82</f>
        <v>2</v>
      </c>
    </row>
    <row r="80">
      <c r="A80" s="35">
        <f>'FOUND DATA'!C83</f>
        <v>0.49</v>
      </c>
      <c r="B80" s="36">
        <f>'FOUND DATA'!D83</f>
        <v>2</v>
      </c>
      <c r="C80" s="35">
        <f>'FOUND DATA'!E83</f>
        <v>0.51</v>
      </c>
      <c r="D80" s="36">
        <f>'FOUND DATA'!F83</f>
        <v>0</v>
      </c>
      <c r="E80" s="35">
        <f>'FOUND DATA'!G83</f>
        <v>0</v>
      </c>
      <c r="F80" s="36">
        <f>'FOUND DATA'!H83</f>
        <v>0</v>
      </c>
    </row>
    <row r="81">
      <c r="A81" s="35">
        <f>'FOUND DATA'!C84</f>
        <v>0.15</v>
      </c>
      <c r="B81" s="36">
        <f>'FOUND DATA'!D84</f>
        <v>2</v>
      </c>
      <c r="C81" s="35">
        <f>'FOUND DATA'!E84</f>
        <v>0.25</v>
      </c>
      <c r="D81" s="36">
        <f>'FOUND DATA'!F84</f>
        <v>0</v>
      </c>
      <c r="E81" s="35">
        <f>'FOUND DATA'!G84</f>
        <v>0</v>
      </c>
      <c r="F81" s="36">
        <f>'FOUND DATA'!H84</f>
        <v>3</v>
      </c>
    </row>
    <row r="82">
      <c r="A82" s="35">
        <f>'FOUND DATA'!C85</f>
        <v>0.3</v>
      </c>
      <c r="B82" s="36">
        <f>'FOUND DATA'!D85</f>
        <v>4</v>
      </c>
      <c r="C82" s="35">
        <f>'FOUND DATA'!E85</f>
        <v>0.45</v>
      </c>
      <c r="D82" s="36">
        <f>'FOUND DATA'!F85</f>
        <v>0</v>
      </c>
      <c r="E82" s="35">
        <f>'FOUND DATA'!G85</f>
        <v>0</v>
      </c>
      <c r="F82" s="36">
        <f>'FOUND DATA'!H85</f>
        <v>0</v>
      </c>
    </row>
    <row r="83">
      <c r="A83" s="35">
        <f>'FOUND DATA'!C86</f>
        <v>0</v>
      </c>
      <c r="B83" s="36">
        <f>'FOUND DATA'!D86</f>
        <v>3</v>
      </c>
      <c r="C83" s="35">
        <f>'FOUND DATA'!E86</f>
        <v>1</v>
      </c>
      <c r="D83" s="36">
        <f>'FOUND DATA'!F86</f>
        <v>0</v>
      </c>
      <c r="E83" s="35">
        <f>'FOUND DATA'!G86</f>
        <v>0</v>
      </c>
      <c r="F83" s="36">
        <f>'FOUND DATA'!H86</f>
        <v>0</v>
      </c>
    </row>
    <row r="84">
      <c r="A84" s="35">
        <f>'FOUND DATA'!C87</f>
        <v>0.2</v>
      </c>
      <c r="B84" s="36">
        <f>'FOUND DATA'!D87</f>
        <v>1</v>
      </c>
      <c r="C84" s="35">
        <f>'FOUND DATA'!E87</f>
        <v>0.35</v>
      </c>
      <c r="D84" s="36">
        <f>'FOUND DATA'!F87</f>
        <v>0</v>
      </c>
      <c r="E84" s="35">
        <f>'FOUND DATA'!G87</f>
        <v>0</v>
      </c>
      <c r="F84" s="36">
        <f>'FOUND DATA'!H87</f>
        <v>0</v>
      </c>
    </row>
    <row r="85">
      <c r="A85" s="35">
        <f>'FOUND DATA'!C88</f>
        <v>0.4</v>
      </c>
      <c r="B85" s="36">
        <f>'FOUND DATA'!D88</f>
        <v>1</v>
      </c>
      <c r="C85" s="35">
        <f>'FOUND DATA'!E88</f>
        <v>0.2</v>
      </c>
      <c r="D85" s="36">
        <f>'FOUND DATA'!F88</f>
        <v>0</v>
      </c>
      <c r="E85" s="35">
        <f>'FOUND DATA'!G88</f>
        <v>0</v>
      </c>
      <c r="F85" s="36">
        <f>'FOUND DATA'!H88</f>
        <v>2</v>
      </c>
    </row>
    <row r="86">
      <c r="A86" s="35">
        <f>'FOUND DATA'!C89</f>
        <v>0.2</v>
      </c>
      <c r="B86" s="36">
        <f>'FOUND DATA'!D89</f>
        <v>1</v>
      </c>
      <c r="C86" s="35">
        <f>'FOUND DATA'!E89</f>
        <v>0.3</v>
      </c>
      <c r="D86" s="36">
        <f>'FOUND DATA'!F89</f>
        <v>0</v>
      </c>
      <c r="E86" s="35">
        <f>'FOUND DATA'!G89</f>
        <v>0</v>
      </c>
      <c r="F86" s="36">
        <f>'FOUND DATA'!H89</f>
        <v>2</v>
      </c>
    </row>
    <row r="87">
      <c r="A87" s="35">
        <f>'FOUND DATA'!C90</f>
        <v>0.15</v>
      </c>
      <c r="B87" s="36">
        <f>'FOUND DATA'!D90</f>
        <v>0</v>
      </c>
      <c r="C87" s="35">
        <f>'FOUND DATA'!E90</f>
        <v>0</v>
      </c>
      <c r="D87" s="36">
        <f>'FOUND DATA'!F90</f>
        <v>1</v>
      </c>
      <c r="E87" s="35">
        <f>'FOUND DATA'!G90</f>
        <v>0.2</v>
      </c>
      <c r="F87" s="36">
        <f>'FOUND DATA'!H90</f>
        <v>3</v>
      </c>
    </row>
    <row r="88">
      <c r="A88" s="35">
        <f>'FOUND DATA'!C91</f>
        <v>0.2</v>
      </c>
      <c r="B88" s="36">
        <f>'FOUND DATA'!D91</f>
        <v>1</v>
      </c>
      <c r="C88" s="35">
        <f>'FOUND DATA'!E91</f>
        <v>0.1</v>
      </c>
      <c r="D88" s="36">
        <f>'FOUND DATA'!F91</f>
        <v>1</v>
      </c>
      <c r="E88" s="35">
        <f>'FOUND DATA'!G91</f>
        <v>0.3</v>
      </c>
      <c r="F88" s="36">
        <f>'FOUND DATA'!H91</f>
        <v>2</v>
      </c>
    </row>
    <row r="89">
      <c r="A89" s="35">
        <f>'FOUND DATA'!C92</f>
        <v>0.5</v>
      </c>
      <c r="B89" s="36">
        <f>'FOUND DATA'!D92</f>
        <v>4</v>
      </c>
      <c r="C89" s="35">
        <f>'FOUND DATA'!E92</f>
        <v>0.4</v>
      </c>
      <c r="D89" s="36">
        <f>'FOUND DATA'!F92</f>
        <v>0</v>
      </c>
      <c r="E89" s="35">
        <f>'FOUND DATA'!G92</f>
        <v>0</v>
      </c>
      <c r="F89" s="36">
        <f>'FOUND DATA'!H92</f>
        <v>0</v>
      </c>
    </row>
    <row r="90">
      <c r="A90" s="35">
        <f>'FOUND DATA'!C93</f>
        <v>0</v>
      </c>
      <c r="B90" s="36">
        <f>'FOUND DATA'!D93</f>
        <v>1</v>
      </c>
      <c r="C90" s="35">
        <f>'FOUND DATA'!E93</f>
        <v>0.5</v>
      </c>
      <c r="D90" s="36">
        <f>'FOUND DATA'!F93</f>
        <v>0</v>
      </c>
      <c r="E90" s="35">
        <f>'FOUND DATA'!G93</f>
        <v>0</v>
      </c>
      <c r="F90" s="36">
        <f>'FOUND DATA'!H93</f>
        <v>2</v>
      </c>
    </row>
    <row r="91">
      <c r="A91" s="35">
        <f>'FOUND DATA'!C94</f>
        <v>0.2</v>
      </c>
      <c r="B91" s="36">
        <f>'FOUND DATA'!D94</f>
        <v>3</v>
      </c>
      <c r="C91" s="35">
        <f>'FOUND DATA'!E94</f>
        <v>0.55</v>
      </c>
      <c r="D91" s="36">
        <f>'FOUND DATA'!F94</f>
        <v>0</v>
      </c>
      <c r="E91" s="35">
        <f>'FOUND DATA'!G94</f>
        <v>0</v>
      </c>
      <c r="F91" s="36">
        <f>'FOUND DATA'!H94</f>
        <v>3</v>
      </c>
    </row>
    <row r="92">
      <c r="A92" s="35">
        <f>'FOUND DATA'!C95</f>
        <v>0.14</v>
      </c>
      <c r="B92" s="36">
        <f>'FOUND DATA'!D95</f>
        <v>0</v>
      </c>
      <c r="C92" s="35">
        <f>'FOUND DATA'!E95</f>
        <v>0</v>
      </c>
      <c r="D92" s="36">
        <f>'FOUND DATA'!F95</f>
        <v>1</v>
      </c>
      <c r="E92" s="35">
        <f>'FOUND DATA'!G95</f>
        <v>0.25</v>
      </c>
      <c r="F92" s="36">
        <f>'FOUND DATA'!H95</f>
        <v>3</v>
      </c>
    </row>
    <row r="93">
      <c r="A93" s="35">
        <f>'FOUND DATA'!C96</f>
        <v>0.05</v>
      </c>
      <c r="B93" s="36">
        <f>'FOUND DATA'!D96</f>
        <v>0</v>
      </c>
      <c r="C93" s="35">
        <f>'FOUND DATA'!E96</f>
        <v>0</v>
      </c>
      <c r="D93" s="36">
        <f>'FOUND DATA'!F96</f>
        <v>1</v>
      </c>
      <c r="E93" s="35">
        <f>'FOUND DATA'!G96</f>
        <v>0.3</v>
      </c>
      <c r="F93" s="36">
        <f>'FOUND DATA'!H96</f>
        <v>3</v>
      </c>
    </row>
    <row r="94">
      <c r="A94" s="35">
        <f>'FOUND DATA'!C97</f>
        <v>0.27</v>
      </c>
      <c r="B94" s="36">
        <f>'FOUND DATA'!D97</f>
        <v>5</v>
      </c>
      <c r="C94" s="35">
        <f>'FOUND DATA'!E97</f>
        <v>0.49</v>
      </c>
      <c r="D94" s="36">
        <f>'FOUND DATA'!F97</f>
        <v>0</v>
      </c>
      <c r="E94" s="35">
        <f>'FOUND DATA'!G97</f>
        <v>0</v>
      </c>
      <c r="F94" s="36">
        <f>'FOUND DATA'!H97</f>
        <v>0</v>
      </c>
    </row>
    <row r="95">
      <c r="A95" s="35">
        <f>'FOUND DATA'!C98</f>
        <v>0.2</v>
      </c>
      <c r="B95" s="36">
        <f>'FOUND DATA'!D98</f>
        <v>0</v>
      </c>
      <c r="C95" s="35">
        <f>'FOUND DATA'!E98</f>
        <v>0</v>
      </c>
      <c r="D95" s="36">
        <f>'FOUND DATA'!F98</f>
        <v>1</v>
      </c>
      <c r="E95" s="35">
        <f>'FOUND DATA'!G98</f>
        <v>0.4</v>
      </c>
      <c r="F95" s="36">
        <f>'FOUND DATA'!H98</f>
        <v>2</v>
      </c>
    </row>
    <row r="96">
      <c r="A96" s="35">
        <f>'FOUND DATA'!C99</f>
        <v>0.15</v>
      </c>
      <c r="B96" s="36">
        <f>'FOUND DATA'!D99</f>
        <v>3</v>
      </c>
      <c r="C96" s="35">
        <f>'FOUND DATA'!E99</f>
        <v>0.15</v>
      </c>
      <c r="D96" s="36">
        <f>'FOUND DATA'!F99</f>
        <v>1</v>
      </c>
      <c r="E96" s="35">
        <f>'FOUND DATA'!G99</f>
        <v>0.25</v>
      </c>
      <c r="F96" s="36">
        <f>'FOUND DATA'!H99</f>
        <v>3</v>
      </c>
    </row>
    <row r="97">
      <c r="A97" s="35">
        <f>'FOUND DATA'!C100</f>
        <v>0.2</v>
      </c>
      <c r="B97" s="36">
        <f>'FOUND DATA'!D100</f>
        <v>5</v>
      </c>
      <c r="C97" s="35">
        <f>'FOUND DATA'!E100</f>
        <v>0.5</v>
      </c>
      <c r="D97" s="36">
        <f>'FOUND DATA'!F100</f>
        <v>0</v>
      </c>
      <c r="E97" s="35">
        <f>'FOUND DATA'!G100</f>
        <v>0</v>
      </c>
      <c r="F97" s="36">
        <f>'FOUND DATA'!H100</f>
        <v>3</v>
      </c>
    </row>
    <row r="98">
      <c r="A98" s="35">
        <f>'FOUND DATA'!C101</f>
        <v>0.15</v>
      </c>
      <c r="B98" s="36">
        <f>'FOUND DATA'!D101</f>
        <v>0</v>
      </c>
      <c r="C98" s="35">
        <f>'FOUND DATA'!E101</f>
        <v>0</v>
      </c>
      <c r="D98" s="36">
        <f>'FOUND DATA'!F101</f>
        <v>1</v>
      </c>
      <c r="E98" s="35">
        <f>'FOUND DATA'!G101</f>
        <v>0.35</v>
      </c>
      <c r="F98" s="36">
        <f>'FOUND DATA'!H101</f>
        <v>2</v>
      </c>
    </row>
    <row r="99">
      <c r="A99" s="35">
        <f>'FOUND DATA'!C102</f>
        <v>0.2</v>
      </c>
      <c r="B99" s="36">
        <f>'FOUND DATA'!D102</f>
        <v>0</v>
      </c>
      <c r="C99" s="35">
        <f>'FOUND DATA'!E102</f>
        <v>0</v>
      </c>
      <c r="D99" s="36">
        <f>'FOUND DATA'!F102</f>
        <v>1</v>
      </c>
      <c r="E99" s="35">
        <f>'FOUND DATA'!G102</f>
        <v>0.2</v>
      </c>
      <c r="F99" s="36">
        <f>'FOUND DATA'!H102</f>
        <v>2</v>
      </c>
    </row>
    <row r="100">
      <c r="A100" s="35">
        <f>'FOUND DATA'!C103</f>
        <v>0.2</v>
      </c>
      <c r="B100" s="36">
        <f>'FOUND DATA'!D103</f>
        <v>0</v>
      </c>
      <c r="C100" s="35">
        <f>'FOUND DATA'!E103</f>
        <v>0</v>
      </c>
      <c r="D100" s="36">
        <f>'FOUND DATA'!F103</f>
        <v>1</v>
      </c>
      <c r="E100" s="35">
        <f>'FOUND DATA'!G103</f>
        <v>0.2</v>
      </c>
      <c r="F100" s="36">
        <f>'FOUND DATA'!H103</f>
        <v>2</v>
      </c>
    </row>
    <row r="101">
      <c r="A101" s="35">
        <f>'FOUND DATA'!C104</f>
        <v>0.1</v>
      </c>
      <c r="B101" s="36">
        <f>'FOUND DATA'!D104</f>
        <v>0</v>
      </c>
      <c r="C101" s="35">
        <f>'FOUND DATA'!E104</f>
        <v>0</v>
      </c>
      <c r="D101" s="36">
        <f>'FOUND DATA'!F104</f>
        <v>1</v>
      </c>
      <c r="E101" s="35">
        <f>'FOUND DATA'!G104</f>
        <v>0.25</v>
      </c>
      <c r="F101" s="36">
        <f>'FOUND DATA'!H104</f>
        <v>2</v>
      </c>
    </row>
    <row r="102">
      <c r="A102" s="35">
        <f>'FOUND DATA'!C105</f>
        <v>0.3</v>
      </c>
      <c r="B102" s="36">
        <f>'FOUND DATA'!D105</f>
        <v>1</v>
      </c>
      <c r="C102" s="35">
        <f>'FOUND DATA'!E105</f>
        <v>0.15</v>
      </c>
      <c r="D102" s="36">
        <f>'FOUND DATA'!F105</f>
        <v>1</v>
      </c>
      <c r="E102" s="35">
        <f>'FOUND DATA'!G105</f>
        <v>0.2</v>
      </c>
      <c r="F102" s="36">
        <f>'FOUND DATA'!H105</f>
        <v>2</v>
      </c>
    </row>
    <row r="103">
      <c r="A103" s="35">
        <f>'FOUND DATA'!C106</f>
        <v>0.3</v>
      </c>
      <c r="B103" s="36">
        <f>'FOUND DATA'!D106</f>
        <v>1</v>
      </c>
      <c r="C103" s="35">
        <f>'FOUND DATA'!E106</f>
        <v>0.15</v>
      </c>
      <c r="D103" s="36">
        <f>'FOUND DATA'!F106</f>
        <v>1</v>
      </c>
      <c r="E103" s="35">
        <f>'FOUND DATA'!G106</f>
        <v>0.2</v>
      </c>
      <c r="F103" s="36">
        <f>'FOUND DATA'!H106</f>
        <v>2</v>
      </c>
    </row>
    <row r="104">
      <c r="A104" s="35">
        <f>'FOUND DATA'!C107</f>
        <v>0.3</v>
      </c>
      <c r="B104" s="36">
        <f>'FOUND DATA'!D107</f>
        <v>1</v>
      </c>
      <c r="C104" s="35">
        <f>'FOUND DATA'!E107</f>
        <v>0.15</v>
      </c>
      <c r="D104" s="36">
        <f>'FOUND DATA'!F107</f>
        <v>1</v>
      </c>
      <c r="E104" s="35">
        <f>'FOUND DATA'!G107</f>
        <v>0.2</v>
      </c>
      <c r="F104" s="36">
        <f>'FOUND DATA'!H107</f>
        <v>2</v>
      </c>
    </row>
    <row r="105">
      <c r="A105" s="35" t="str">
        <f>'FOUND DATA'!C108</f>
        <v>END</v>
      </c>
      <c r="B105" s="35" t="str">
        <f>'FOUND DATA'!D108</f>
        <v>END</v>
      </c>
      <c r="C105" s="35" t="str">
        <f>'FOUND DATA'!E108</f>
        <v>END</v>
      </c>
      <c r="D105" s="35" t="str">
        <f>'FOUND DATA'!F108</f>
        <v>END</v>
      </c>
      <c r="E105" s="35" t="str">
        <f>'FOUND DATA'!G108</f>
        <v>END</v>
      </c>
      <c r="F105" s="35" t="str">
        <f>'FOUND DATA'!H108</f>
        <v>END</v>
      </c>
    </row>
    <row r="124">
      <c r="A124" s="35" t="str">
        <f>'FOUND DATA'!C126</f>
        <v/>
      </c>
      <c r="B124" s="35" t="str">
        <f>'FOUND DATA'!E126</f>
        <v/>
      </c>
      <c r="C124" s="35" t="str">
        <f>'FOUND DATA'!G126</f>
        <v/>
      </c>
      <c r="D124" s="35" t="str">
        <f>'FOUND DATA'!I126</f>
        <v/>
      </c>
      <c r="E124" s="35" t="str">
        <f>'FOUND DATA'!K126</f>
        <v/>
      </c>
      <c r="F124" s="35" t="str">
        <f>'FOUND DATA'!L126</f>
        <v/>
      </c>
    </row>
    <row r="125">
      <c r="A125" s="35" t="str">
        <f>'FOUND DATA'!C127</f>
        <v/>
      </c>
      <c r="B125" s="35" t="str">
        <f>'FOUND DATA'!E127</f>
        <v/>
      </c>
      <c r="C125" s="35" t="str">
        <f>'FOUND DATA'!G127</f>
        <v/>
      </c>
      <c r="D125" s="35" t="str">
        <f>'FOUND DATA'!I127</f>
        <v/>
      </c>
      <c r="E125" s="35" t="str">
        <f>'FOUND DATA'!K127</f>
        <v/>
      </c>
      <c r="F125" s="35" t="str">
        <f>'FOUND DATA'!L127</f>
        <v/>
      </c>
    </row>
    <row r="126">
      <c r="A126" s="35" t="str">
        <f>'FOUND DATA'!C128</f>
        <v/>
      </c>
      <c r="B126" s="35" t="str">
        <f>'FOUND DATA'!E128</f>
        <v/>
      </c>
      <c r="C126" s="35" t="str">
        <f>'FOUND DATA'!G128</f>
        <v/>
      </c>
      <c r="D126" s="35" t="str">
        <f>'FOUND DATA'!I128</f>
        <v/>
      </c>
      <c r="E126" s="35" t="str">
        <f>'FOUND DATA'!K128</f>
        <v/>
      </c>
      <c r="F126" s="35" t="str">
        <f>'FOUND DATA'!L128</f>
        <v/>
      </c>
    </row>
    <row r="127">
      <c r="A127" s="35" t="str">
        <f>'FOUND DATA'!C129</f>
        <v/>
      </c>
      <c r="B127" s="35" t="str">
        <f>'FOUND DATA'!E129</f>
        <v/>
      </c>
      <c r="C127" s="35" t="str">
        <f>'FOUND DATA'!G129</f>
        <v/>
      </c>
      <c r="D127" s="35" t="str">
        <f>'FOUND DATA'!I129</f>
        <v/>
      </c>
      <c r="E127" s="35" t="str">
        <f>'FOUND DATA'!K129</f>
        <v/>
      </c>
      <c r="F127" s="35" t="str">
        <f>'FOUND DATA'!L129</f>
        <v/>
      </c>
    </row>
    <row r="128">
      <c r="A128" s="35" t="str">
        <f>'FOUND DATA'!C130</f>
        <v/>
      </c>
      <c r="B128" s="35" t="str">
        <f>'FOUND DATA'!E130</f>
        <v/>
      </c>
      <c r="C128" s="35" t="str">
        <f>'FOUND DATA'!G130</f>
        <v/>
      </c>
      <c r="D128" s="35" t="str">
        <f>'FOUND DATA'!I130</f>
        <v/>
      </c>
      <c r="E128" s="35" t="str">
        <f>'FOUND DATA'!K130</f>
        <v/>
      </c>
      <c r="F128" s="35" t="str">
        <f>'FOUND DATA'!L130</f>
        <v/>
      </c>
    </row>
    <row r="129">
      <c r="A129" s="35" t="str">
        <f>'FOUND DATA'!C111</f>
        <v/>
      </c>
      <c r="B129" s="35" t="str">
        <f>'FOUND DATA'!E111</f>
        <v/>
      </c>
      <c r="C129" s="35" t="str">
        <f>'FOUND DATA'!G111</f>
        <v/>
      </c>
      <c r="D129" s="35" t="str">
        <f>'FOUND DATA'!I111</f>
        <v/>
      </c>
      <c r="E129" s="35" t="str">
        <f>'FOUND DATA'!K111</f>
        <v/>
      </c>
      <c r="F129" s="35" t="str">
        <f>'FOUND DATA'!L111</f>
        <v/>
      </c>
    </row>
    <row r="130">
      <c r="A130" s="35" t="str">
        <f>'FOUND DATA'!C112</f>
        <v/>
      </c>
      <c r="B130" s="35" t="str">
        <f>'FOUND DATA'!E112</f>
        <v/>
      </c>
      <c r="C130" s="35" t="str">
        <f>'FOUND DATA'!G112</f>
        <v/>
      </c>
      <c r="D130" s="35" t="str">
        <f>'FOUND DATA'!I112</f>
        <v/>
      </c>
      <c r="E130" s="35" t="str">
        <f>'FOUND DATA'!K112</f>
        <v/>
      </c>
      <c r="F130" s="35" t="str">
        <f>'FOUND DATA'!L112</f>
        <v/>
      </c>
    </row>
    <row r="131">
      <c r="A131" s="35" t="str">
        <f>'FOUND DATA'!C113</f>
        <v/>
      </c>
      <c r="B131" s="35" t="str">
        <f>'FOUND DATA'!E113</f>
        <v/>
      </c>
      <c r="C131" s="35" t="str">
        <f>'FOUND DATA'!G113</f>
        <v/>
      </c>
      <c r="D131" s="35" t="str">
        <f>'FOUND DATA'!I113</f>
        <v/>
      </c>
      <c r="E131" s="35" t="str">
        <f>'FOUND DATA'!K113</f>
        <v/>
      </c>
      <c r="F131" s="35" t="str">
        <f>'FOUND DATA'!L113</f>
        <v/>
      </c>
    </row>
    <row r="132">
      <c r="A132" s="35" t="str">
        <f>'FOUND DATA'!C114</f>
        <v/>
      </c>
      <c r="B132" s="35" t="str">
        <f>'FOUND DATA'!E114</f>
        <v/>
      </c>
      <c r="C132" s="35" t="str">
        <f>'FOUND DATA'!G114</f>
        <v/>
      </c>
      <c r="D132" s="35" t="str">
        <f>'FOUND DATA'!I114</f>
        <v/>
      </c>
      <c r="E132" s="35" t="str">
        <f>'FOUND DATA'!K114</f>
        <v/>
      </c>
      <c r="F132" s="35" t="str">
        <f>'FOUND DATA'!L114</f>
        <v/>
      </c>
    </row>
    <row r="146">
      <c r="A146" s="35" t="str">
        <f>'FOUND DATA'!C124</f>
        <v/>
      </c>
      <c r="B146" s="35" t="str">
        <f>'FOUND DATA'!E124</f>
        <v/>
      </c>
      <c r="C146" s="35" t="str">
        <f>'FOUND DATA'!G124</f>
        <v/>
      </c>
      <c r="D146" s="35" t="str">
        <f>'FOUND DATA'!I124</f>
        <v/>
      </c>
      <c r="E146" s="35" t="str">
        <f>'FOUND DATA'!K124</f>
        <v/>
      </c>
      <c r="F146" s="35" t="str">
        <f>'FOUND DATA'!L124</f>
        <v/>
      </c>
    </row>
    <row r="147">
      <c r="A147" s="35" t="str">
        <f>'FOUND DATA'!C125</f>
        <v/>
      </c>
      <c r="B147" s="35" t="str">
        <f>'FOUND DATA'!E125</f>
        <v/>
      </c>
      <c r="C147" s="35" t="str">
        <f>'FOUND DATA'!G125</f>
        <v/>
      </c>
      <c r="D147" s="35" t="str">
        <f>'FOUND DATA'!I125</f>
        <v/>
      </c>
      <c r="E147" s="35" t="str">
        <f>'FOUND DATA'!K125</f>
        <v/>
      </c>
      <c r="F147" s="35" t="str">
        <f>'FOUND DATA'!L125</f>
        <v/>
      </c>
    </row>
    <row r="148">
      <c r="A148" s="35" t="str">
        <f>'FOUND DATA'!C126</f>
        <v/>
      </c>
      <c r="B148" s="35" t="str">
        <f>'FOUND DATA'!E126</f>
        <v/>
      </c>
      <c r="C148" s="35" t="str">
        <f>'FOUND DATA'!G126</f>
        <v/>
      </c>
      <c r="D148" s="35" t="str">
        <f>'FOUND DATA'!I126</f>
        <v/>
      </c>
      <c r="E148" s="35" t="str">
        <f>'FOUND DATA'!K126</f>
        <v/>
      </c>
      <c r="F148" s="35" t="str">
        <f>'FOUND DATA'!L126</f>
        <v/>
      </c>
    </row>
    <row r="149">
      <c r="A149" s="35" t="str">
        <f>'FOUND DATA'!C127</f>
        <v/>
      </c>
      <c r="B149" s="35" t="str">
        <f>'FOUND DATA'!E127</f>
        <v/>
      </c>
      <c r="C149" s="35" t="str">
        <f>'FOUND DATA'!G127</f>
        <v/>
      </c>
      <c r="D149" s="35" t="str">
        <f>'FOUND DATA'!I127</f>
        <v/>
      </c>
      <c r="E149" s="35" t="str">
        <f>'FOUND DATA'!K127</f>
        <v/>
      </c>
      <c r="F149" s="35" t="str">
        <f>'FOUND DATA'!L127</f>
        <v/>
      </c>
    </row>
    <row r="150">
      <c r="A150" s="35" t="str">
        <f>'FOUND DATA'!C128</f>
        <v/>
      </c>
      <c r="B150" s="35" t="str">
        <f>'FOUND DATA'!E128</f>
        <v/>
      </c>
      <c r="C150" s="35" t="str">
        <f>'FOUND DATA'!G128</f>
        <v/>
      </c>
      <c r="D150" s="35" t="str">
        <f>'FOUND DATA'!I128</f>
        <v/>
      </c>
      <c r="E150" s="35" t="str">
        <f>'FOUND DATA'!K128</f>
        <v/>
      </c>
      <c r="F150" s="35" t="str">
        <f>'FOUND DATA'!L128</f>
        <v/>
      </c>
    </row>
    <row r="151">
      <c r="A151" s="35" t="str">
        <f>'FOUND DATA'!C129</f>
        <v/>
      </c>
      <c r="B151" s="35" t="str">
        <f>'FOUND DATA'!E129</f>
        <v/>
      </c>
      <c r="C151" s="35" t="str">
        <f>'FOUND DATA'!G129</f>
        <v/>
      </c>
      <c r="D151" s="35" t="str">
        <f>'FOUND DATA'!I129</f>
        <v/>
      </c>
      <c r="E151" s="35" t="str">
        <f>'FOUND DATA'!K129</f>
        <v/>
      </c>
      <c r="F151" s="35" t="str">
        <f>'FOUND DATA'!L129</f>
        <v/>
      </c>
    </row>
    <row r="152">
      <c r="A152" s="35" t="str">
        <f>'FOUND DATA'!C130</f>
        <v/>
      </c>
      <c r="B152" s="35" t="str">
        <f>'FOUND DATA'!E130</f>
        <v/>
      </c>
      <c r="C152" s="35" t="str">
        <f>'FOUND DATA'!G130</f>
        <v/>
      </c>
      <c r="D152" s="35" t="str">
        <f>'FOUND DATA'!I130</f>
        <v/>
      </c>
      <c r="E152" s="35" t="str">
        <f>'FOUND DATA'!K130</f>
        <v/>
      </c>
      <c r="F152" s="35" t="str">
        <f>'FOUND DATA'!L130</f>
        <v/>
      </c>
    </row>
    <row r="153">
      <c r="A153" s="35" t="str">
        <f>'FOUND DATA'!C131</f>
        <v/>
      </c>
      <c r="B153" s="35" t="str">
        <f>'FOUND DATA'!E131</f>
        <v/>
      </c>
      <c r="C153" s="35" t="str">
        <f>'FOUND DATA'!G131</f>
        <v/>
      </c>
      <c r="D153" s="35" t="str">
        <f>'FOUND DATA'!I131</f>
        <v/>
      </c>
      <c r="E153" s="35" t="str">
        <f>'FOUND DATA'!K131</f>
        <v/>
      </c>
      <c r="F153" s="35" t="str">
        <f>'FOUND DATA'!L131</f>
        <v/>
      </c>
    </row>
    <row r="154">
      <c r="A154" s="35" t="str">
        <f>'FOUND DATA'!C132</f>
        <v/>
      </c>
      <c r="B154" s="35" t="str">
        <f>'FOUND DATA'!E132</f>
        <v/>
      </c>
      <c r="C154" s="35" t="str">
        <f>'FOUND DATA'!G132</f>
        <v/>
      </c>
      <c r="D154" s="35" t="str">
        <f>'FOUND DATA'!I132</f>
        <v/>
      </c>
      <c r="E154" s="35" t="str">
        <f>'FOUND DATA'!K132</f>
        <v/>
      </c>
      <c r="F154" s="35" t="str">
        <f>'FOUND DATA'!L132</f>
        <v/>
      </c>
    </row>
    <row r="155">
      <c r="A155" s="35" t="str">
        <f>'FOUND DATA'!C133</f>
        <v/>
      </c>
      <c r="B155" s="35" t="str">
        <f>'FOUND DATA'!E133</f>
        <v/>
      </c>
      <c r="C155" s="35" t="str">
        <f>'FOUND DATA'!G133</f>
        <v/>
      </c>
      <c r="D155" s="35" t="str">
        <f>'FOUND DATA'!I133</f>
        <v/>
      </c>
      <c r="E155" s="35" t="str">
        <f>'FOUND DATA'!K133</f>
        <v/>
      </c>
      <c r="F155" s="35" t="str">
        <f>'FOUND DATA'!L133</f>
        <v/>
      </c>
    </row>
    <row r="156">
      <c r="A156" s="35" t="str">
        <f>'FOUND DATA'!C134</f>
        <v/>
      </c>
      <c r="B156" s="35" t="str">
        <f>'FOUND DATA'!E134</f>
        <v/>
      </c>
      <c r="C156" s="35" t="str">
        <f>'FOUND DATA'!G134</f>
        <v/>
      </c>
      <c r="D156" s="35" t="str">
        <f>'FOUND DATA'!I134</f>
        <v/>
      </c>
      <c r="E156" s="35" t="str">
        <f>'FOUND DATA'!K134</f>
        <v/>
      </c>
      <c r="F156" s="35" t="str">
        <f>'FOUND DATA'!L134</f>
        <v/>
      </c>
    </row>
    <row r="157">
      <c r="A157" s="35" t="str">
        <f>'FOUND DATA'!C135</f>
        <v/>
      </c>
      <c r="B157" s="35" t="str">
        <f>'FOUND DATA'!E135</f>
        <v/>
      </c>
      <c r="C157" s="35" t="str">
        <f>'FOUND DATA'!G135</f>
        <v/>
      </c>
      <c r="D157" s="35" t="str">
        <f>'FOUND DATA'!I135</f>
        <v/>
      </c>
      <c r="E157" s="35" t="str">
        <f>'FOUND DATA'!K135</f>
        <v/>
      </c>
      <c r="F157" s="35" t="str">
        <f>'FOUND DATA'!L135</f>
        <v/>
      </c>
    </row>
    <row r="158">
      <c r="A158" s="35" t="str">
        <f>'FOUND DATA'!C136</f>
        <v/>
      </c>
      <c r="B158" s="35" t="str">
        <f>'FOUND DATA'!E136</f>
        <v/>
      </c>
      <c r="C158" s="35" t="str">
        <f>'FOUND DATA'!G136</f>
        <v/>
      </c>
      <c r="D158" s="35" t="str">
        <f>'FOUND DATA'!I136</f>
        <v/>
      </c>
      <c r="E158" s="35" t="str">
        <f>'FOUND DATA'!K136</f>
        <v/>
      </c>
      <c r="F158" s="35" t="str">
        <f>'FOUND DATA'!L136</f>
        <v/>
      </c>
    </row>
    <row r="159">
      <c r="A159" s="35" t="str">
        <f>'FOUND DATA'!C137</f>
        <v/>
      </c>
      <c r="B159" s="35" t="str">
        <f>'FOUND DATA'!E137</f>
        <v/>
      </c>
      <c r="C159" s="35" t="str">
        <f>'FOUND DATA'!G137</f>
        <v/>
      </c>
      <c r="D159" s="35" t="str">
        <f>'FOUND DATA'!I137</f>
        <v/>
      </c>
      <c r="E159" s="35" t="str">
        <f>'FOUND DATA'!K137</f>
        <v/>
      </c>
      <c r="F159" s="35" t="str">
        <f>'FOUND DATA'!L137</f>
        <v/>
      </c>
    </row>
    <row r="160">
      <c r="A160" s="35" t="str">
        <f>'FOUND DATA'!C138</f>
        <v/>
      </c>
      <c r="B160" s="35" t="str">
        <f>'FOUND DATA'!E138</f>
        <v/>
      </c>
      <c r="C160" s="35" t="str">
        <f>'FOUND DATA'!G138</f>
        <v/>
      </c>
      <c r="D160" s="35" t="str">
        <f>'FOUND DATA'!I138</f>
        <v/>
      </c>
      <c r="E160" s="35" t="str">
        <f>'FOUND DATA'!K138</f>
        <v/>
      </c>
      <c r="F160" s="35" t="str">
        <f>'FOUND DATA'!L138</f>
        <v/>
      </c>
    </row>
    <row r="161">
      <c r="A161" s="35" t="str">
        <f>'FOUND DATA'!C139</f>
        <v/>
      </c>
      <c r="B161" s="35" t="str">
        <f>'FOUND DATA'!E139</f>
        <v/>
      </c>
      <c r="C161" s="35" t="str">
        <f>'FOUND DATA'!G139</f>
        <v/>
      </c>
      <c r="D161" s="35" t="str">
        <f>'FOUND DATA'!I139</f>
        <v/>
      </c>
      <c r="E161" s="35" t="str">
        <f>'FOUND DATA'!K139</f>
        <v/>
      </c>
      <c r="F161" s="35" t="str">
        <f>'FOUND DATA'!L139</f>
        <v/>
      </c>
    </row>
    <row r="162">
      <c r="A162" s="35" t="str">
        <f>'FOUND DATA'!C140</f>
        <v/>
      </c>
      <c r="B162" s="35" t="str">
        <f>'FOUND DATA'!E140</f>
        <v/>
      </c>
      <c r="C162" s="35" t="str">
        <f>'FOUND DATA'!G140</f>
        <v/>
      </c>
      <c r="D162" s="35" t="str">
        <f>'FOUND DATA'!I140</f>
        <v/>
      </c>
      <c r="E162" s="35" t="str">
        <f>'FOUND DATA'!K140</f>
        <v/>
      </c>
      <c r="F162" s="35" t="str">
        <f>'FOUND DATA'!L140</f>
        <v/>
      </c>
    </row>
    <row r="163">
      <c r="A163" s="35" t="str">
        <f>'FOUND DATA'!C141</f>
        <v/>
      </c>
      <c r="B163" s="35" t="str">
        <f>'FOUND DATA'!E141</f>
        <v/>
      </c>
      <c r="C163" s="35" t="str">
        <f>'FOUND DATA'!G141</f>
        <v/>
      </c>
      <c r="D163" s="35" t="str">
        <f>'FOUND DATA'!I141</f>
        <v/>
      </c>
      <c r="E163" s="35" t="str">
        <f>'FOUND DATA'!K141</f>
        <v/>
      </c>
      <c r="F163" s="35" t="str">
        <f>'FOUND DATA'!L141</f>
        <v/>
      </c>
    </row>
    <row r="164">
      <c r="A164" s="35" t="str">
        <f>'FOUND DATA'!C142</f>
        <v/>
      </c>
      <c r="B164" s="35" t="str">
        <f>'FOUND DATA'!E142</f>
        <v/>
      </c>
      <c r="C164" s="35" t="str">
        <f>'FOUND DATA'!G142</f>
        <v/>
      </c>
      <c r="D164" s="35" t="str">
        <f>'FOUND DATA'!I142</f>
        <v/>
      </c>
      <c r="E164" s="35" t="str">
        <f>'FOUND DATA'!K142</f>
        <v/>
      </c>
      <c r="F164" s="35" t="str">
        <f>'FOUND DATA'!L142</f>
        <v/>
      </c>
    </row>
    <row r="165">
      <c r="A165" s="35" t="str">
        <f>'FOUND DATA'!C143</f>
        <v/>
      </c>
      <c r="B165" s="35" t="str">
        <f>'FOUND DATA'!E143</f>
        <v/>
      </c>
      <c r="C165" s="35" t="str">
        <f>'FOUND DATA'!G143</f>
        <v/>
      </c>
      <c r="D165" s="35" t="str">
        <f>'FOUND DATA'!I143</f>
        <v/>
      </c>
      <c r="E165" s="35" t="str">
        <f>'FOUND DATA'!K143</f>
        <v/>
      </c>
      <c r="F165" s="35" t="str">
        <f>'FOUND DATA'!L143</f>
        <v/>
      </c>
    </row>
    <row r="166">
      <c r="A166" s="35" t="str">
        <f>'FOUND DATA'!C144</f>
        <v/>
      </c>
      <c r="B166" s="35" t="str">
        <f>'FOUND DATA'!E144</f>
        <v/>
      </c>
      <c r="C166" s="35" t="str">
        <f>'FOUND DATA'!G144</f>
        <v/>
      </c>
      <c r="D166" s="35" t="str">
        <f>'FOUND DATA'!I144</f>
        <v/>
      </c>
      <c r="E166" s="35" t="str">
        <f>'FOUND DATA'!K144</f>
        <v/>
      </c>
      <c r="F166" s="35" t="str">
        <f>'FOUND DATA'!L144</f>
        <v/>
      </c>
    </row>
    <row r="167">
      <c r="A167" s="35" t="str">
        <f>'FOUND DATA'!C145</f>
        <v/>
      </c>
      <c r="B167" s="35" t="str">
        <f>'FOUND DATA'!E145</f>
        <v/>
      </c>
      <c r="C167" s="35" t="str">
        <f>'FOUND DATA'!G145</f>
        <v/>
      </c>
      <c r="D167" s="35" t="str">
        <f>'FOUND DATA'!I145</f>
        <v/>
      </c>
      <c r="E167" s="35" t="str">
        <f>'FOUND DATA'!K145</f>
        <v/>
      </c>
      <c r="F167" s="35" t="str">
        <f>'FOUND DATA'!L145</f>
        <v/>
      </c>
    </row>
    <row r="168">
      <c r="A168" s="35" t="str">
        <f>'FOUND DATA'!C146</f>
        <v/>
      </c>
      <c r="B168" s="35" t="str">
        <f>'FOUND DATA'!E146</f>
        <v/>
      </c>
      <c r="C168" s="35" t="str">
        <f>'FOUND DATA'!G146</f>
        <v/>
      </c>
      <c r="D168" s="35" t="str">
        <f>'FOUND DATA'!I146</f>
        <v/>
      </c>
      <c r="E168" s="35" t="str">
        <f>'FOUND DATA'!K146</f>
        <v/>
      </c>
      <c r="F168" s="35" t="str">
        <f>'FOUND DATA'!L146</f>
        <v/>
      </c>
    </row>
    <row r="169">
      <c r="A169" s="35" t="str">
        <f>'FOUND DATA'!C147</f>
        <v/>
      </c>
      <c r="B169" s="35" t="str">
        <f>'FOUND DATA'!E147</f>
        <v/>
      </c>
      <c r="C169" s="35" t="str">
        <f>'FOUND DATA'!G147</f>
        <v/>
      </c>
      <c r="D169" s="35" t="str">
        <f>'FOUND DATA'!I147</f>
        <v/>
      </c>
      <c r="E169" s="35" t="str">
        <f>'FOUND DATA'!K147</f>
        <v/>
      </c>
      <c r="F169" s="35" t="str">
        <f>'FOUND DATA'!L147</f>
        <v/>
      </c>
    </row>
    <row r="170">
      <c r="A170" s="35" t="str">
        <f>'FOUND DATA'!C148</f>
        <v/>
      </c>
      <c r="B170" s="35" t="str">
        <f>'FOUND DATA'!E148</f>
        <v/>
      </c>
      <c r="C170" s="35" t="str">
        <f>'FOUND DATA'!G148</f>
        <v/>
      </c>
      <c r="D170" s="35" t="str">
        <f>'FOUND DATA'!I148</f>
        <v/>
      </c>
      <c r="E170" s="35" t="str">
        <f>'FOUND DATA'!K148</f>
        <v/>
      </c>
      <c r="F170" s="35" t="str">
        <f>'FOUND DATA'!L148</f>
        <v/>
      </c>
    </row>
    <row r="171">
      <c r="A171" s="35" t="str">
        <f>'FOUND DATA'!C149</f>
        <v/>
      </c>
      <c r="B171" s="35" t="str">
        <f>'FOUND DATA'!E149</f>
        <v/>
      </c>
      <c r="C171" s="35" t="str">
        <f>'FOUND DATA'!G149</f>
        <v/>
      </c>
      <c r="D171" s="35" t="str">
        <f>'FOUND DATA'!I149</f>
        <v/>
      </c>
      <c r="E171" s="35" t="str">
        <f>'FOUND DATA'!K149</f>
        <v/>
      </c>
      <c r="F171" s="35" t="str">
        <f>'FOUND DATA'!L149</f>
        <v/>
      </c>
    </row>
    <row r="172">
      <c r="A172" s="35" t="str">
        <f>'FOUND DATA'!C150</f>
        <v/>
      </c>
      <c r="B172" s="35" t="str">
        <f>'FOUND DATA'!E150</f>
        <v/>
      </c>
      <c r="C172" s="35" t="str">
        <f>'FOUND DATA'!G150</f>
        <v/>
      </c>
      <c r="D172" s="35" t="str">
        <f>'FOUND DATA'!I150</f>
        <v/>
      </c>
      <c r="E172" s="35" t="str">
        <f>'FOUND DATA'!K150</f>
        <v/>
      </c>
      <c r="F172" s="35" t="str">
        <f>'FOUND DATA'!L150</f>
        <v/>
      </c>
    </row>
    <row r="173">
      <c r="A173" s="35" t="str">
        <f>'FOUND DATA'!C151</f>
        <v/>
      </c>
      <c r="B173" s="35" t="str">
        <f>'FOUND DATA'!E151</f>
        <v/>
      </c>
      <c r="C173" s="35" t="str">
        <f>'FOUND DATA'!G151</f>
        <v/>
      </c>
      <c r="D173" s="35" t="str">
        <f>'FOUND DATA'!I151</f>
        <v/>
      </c>
      <c r="E173" s="35" t="str">
        <f>'FOUND DATA'!K151</f>
        <v/>
      </c>
      <c r="F173" s="35" t="str">
        <f>'FOUND DATA'!L151</f>
        <v/>
      </c>
    </row>
    <row r="174">
      <c r="A174" s="35" t="str">
        <f>'FOUND DATA'!C152</f>
        <v/>
      </c>
      <c r="B174" s="35" t="str">
        <f>'FOUND DATA'!E152</f>
        <v/>
      </c>
      <c r="C174" s="35" t="str">
        <f>'FOUND DATA'!G152</f>
        <v/>
      </c>
      <c r="D174" s="35" t="str">
        <f>'FOUND DATA'!I152</f>
        <v/>
      </c>
      <c r="E174" s="35" t="str">
        <f>'FOUND DATA'!K152</f>
        <v/>
      </c>
      <c r="F174" s="35" t="str">
        <f>'FOUND DATA'!L152</f>
        <v/>
      </c>
    </row>
    <row r="175">
      <c r="A175" s="35" t="str">
        <f>'FOUND DATA'!C153</f>
        <v/>
      </c>
      <c r="B175" s="35" t="str">
        <f>'FOUND DATA'!E153</f>
        <v/>
      </c>
      <c r="C175" s="35" t="str">
        <f>'FOUND DATA'!G153</f>
        <v/>
      </c>
      <c r="D175" s="35" t="str">
        <f>'FOUND DATA'!I153</f>
        <v/>
      </c>
      <c r="E175" s="35" t="str">
        <f>'FOUND DATA'!K153</f>
        <v/>
      </c>
      <c r="F175" s="35" t="str">
        <f>'FOUND DATA'!L153</f>
        <v/>
      </c>
    </row>
    <row r="176">
      <c r="A176" s="35" t="str">
        <f>'FOUND DATA'!C154</f>
        <v/>
      </c>
      <c r="B176" s="35" t="str">
        <f>'FOUND DATA'!E154</f>
        <v/>
      </c>
      <c r="C176" s="35" t="str">
        <f>'FOUND DATA'!G154</f>
        <v/>
      </c>
      <c r="D176" s="35" t="str">
        <f>'FOUND DATA'!I154</f>
        <v/>
      </c>
      <c r="E176" s="35" t="str">
        <f>'FOUND DATA'!K154</f>
        <v/>
      </c>
      <c r="F176" s="35" t="str">
        <f>'FOUND DATA'!L154</f>
        <v/>
      </c>
    </row>
    <row r="177">
      <c r="A177" s="35" t="str">
        <f>'FOUND DATA'!C155</f>
        <v/>
      </c>
      <c r="B177" s="35" t="str">
        <f>'FOUND DATA'!E155</f>
        <v/>
      </c>
      <c r="C177" s="35" t="str">
        <f>'FOUND DATA'!G155</f>
        <v/>
      </c>
      <c r="D177" s="35" t="str">
        <f>'FOUND DATA'!I155</f>
        <v/>
      </c>
      <c r="E177" s="35" t="str">
        <f>'FOUND DATA'!K155</f>
        <v/>
      </c>
      <c r="F177" s="35" t="str">
        <f>'FOUND DATA'!L155</f>
        <v/>
      </c>
    </row>
    <row r="178">
      <c r="A178" s="35" t="str">
        <f>'FOUND DATA'!C156</f>
        <v/>
      </c>
      <c r="B178" s="35" t="str">
        <f>'FOUND DATA'!E156</f>
        <v/>
      </c>
      <c r="C178" s="35" t="str">
        <f>'FOUND DATA'!G156</f>
        <v/>
      </c>
      <c r="D178" s="35" t="str">
        <f>'FOUND DATA'!I156</f>
        <v/>
      </c>
      <c r="E178" s="35" t="str">
        <f>'FOUND DATA'!K156</f>
        <v/>
      </c>
      <c r="F178" s="35" t="str">
        <f>'FOUND DATA'!L156</f>
        <v/>
      </c>
    </row>
    <row r="179">
      <c r="A179" s="35" t="str">
        <f>'FOUND DATA'!C157</f>
        <v/>
      </c>
      <c r="B179" s="35" t="str">
        <f>'FOUND DATA'!E157</f>
        <v/>
      </c>
      <c r="C179" s="35" t="str">
        <f>'FOUND DATA'!G157</f>
        <v/>
      </c>
      <c r="D179" s="35" t="str">
        <f>'FOUND DATA'!I157</f>
        <v/>
      </c>
      <c r="E179" s="35" t="str">
        <f>'FOUND DATA'!K157</f>
        <v/>
      </c>
      <c r="F179" s="35" t="str">
        <f>'FOUND DATA'!L157</f>
        <v/>
      </c>
    </row>
    <row r="180">
      <c r="A180" s="35" t="str">
        <f>'FOUND DATA'!C158</f>
        <v/>
      </c>
      <c r="B180" s="35" t="str">
        <f>'FOUND DATA'!E158</f>
        <v/>
      </c>
      <c r="C180" s="35" t="str">
        <f>'FOUND DATA'!G158</f>
        <v/>
      </c>
      <c r="D180" s="35" t="str">
        <f>'FOUND DATA'!I158</f>
        <v/>
      </c>
      <c r="E180" s="35" t="str">
        <f>'FOUND DATA'!K158</f>
        <v/>
      </c>
      <c r="F180" s="35" t="str">
        <f>'FOUND DATA'!L158</f>
        <v/>
      </c>
    </row>
    <row r="181">
      <c r="A181" s="35" t="str">
        <f>'FOUND DATA'!C159</f>
        <v/>
      </c>
      <c r="B181" s="35" t="str">
        <f>'FOUND DATA'!E159</f>
        <v/>
      </c>
      <c r="C181" s="35" t="str">
        <f>'FOUND DATA'!G159</f>
        <v/>
      </c>
      <c r="D181" s="35" t="str">
        <f>'FOUND DATA'!I159</f>
        <v/>
      </c>
      <c r="E181" s="35" t="str">
        <f>'FOUND DATA'!K159</f>
        <v/>
      </c>
      <c r="F181" s="35" t="str">
        <f>'FOUND DATA'!L159</f>
        <v/>
      </c>
    </row>
    <row r="182">
      <c r="A182" s="35" t="str">
        <f>'FOUND DATA'!C160</f>
        <v/>
      </c>
      <c r="B182" s="35" t="str">
        <f>'FOUND DATA'!E160</f>
        <v/>
      </c>
      <c r="C182" s="35" t="str">
        <f>'FOUND DATA'!G160</f>
        <v/>
      </c>
      <c r="D182" s="35" t="str">
        <f>'FOUND DATA'!I160</f>
        <v/>
      </c>
      <c r="E182" s="35" t="str">
        <f>'FOUND DATA'!K160</f>
        <v/>
      </c>
      <c r="F182" s="35" t="str">
        <f>'FOUND DATA'!L160</f>
        <v/>
      </c>
    </row>
    <row r="183">
      <c r="A183" s="35" t="str">
        <f>'FOUND DATA'!C161</f>
        <v/>
      </c>
      <c r="B183" s="35" t="str">
        <f>'FOUND DATA'!E161</f>
        <v/>
      </c>
      <c r="C183" s="35" t="str">
        <f>'FOUND DATA'!G161</f>
        <v/>
      </c>
      <c r="D183" s="35" t="str">
        <f>'FOUND DATA'!I161</f>
        <v/>
      </c>
      <c r="E183" s="35" t="str">
        <f>'FOUND DATA'!K161</f>
        <v/>
      </c>
      <c r="F183" s="35" t="str">
        <f>'FOUND DATA'!L161</f>
        <v/>
      </c>
    </row>
    <row r="184">
      <c r="A184" s="35" t="str">
        <f>'FOUND DATA'!C162</f>
        <v/>
      </c>
      <c r="B184" s="35" t="str">
        <f>'FOUND DATA'!E162</f>
        <v/>
      </c>
      <c r="C184" s="35" t="str">
        <f>'FOUND DATA'!G162</f>
        <v/>
      </c>
      <c r="D184" s="35" t="str">
        <f>'FOUND DATA'!I162</f>
        <v/>
      </c>
      <c r="E184" s="35" t="str">
        <f>'FOUND DATA'!K162</f>
        <v/>
      </c>
      <c r="F184" s="35" t="str">
        <f>'FOUND DATA'!L162</f>
        <v/>
      </c>
    </row>
    <row r="185">
      <c r="A185" s="35" t="str">
        <f>'FOUND DATA'!C163</f>
        <v/>
      </c>
      <c r="B185" s="35" t="str">
        <f>'FOUND DATA'!E163</f>
        <v/>
      </c>
      <c r="C185" s="35" t="str">
        <f>'FOUND DATA'!G163</f>
        <v/>
      </c>
      <c r="D185" s="35" t="str">
        <f>'FOUND DATA'!I163</f>
        <v/>
      </c>
      <c r="E185" s="35" t="str">
        <f>'FOUND DATA'!K163</f>
        <v/>
      </c>
      <c r="F185" s="35" t="str">
        <f>'FOUND DATA'!L163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tr">
        <f>'FOUND DATA'!N4</f>
        <v>Class F</v>
      </c>
      <c r="B1" s="35" t="str">
        <f>'FOUND DATA'!O4</f>
        <v>Class D</v>
      </c>
      <c r="C1" s="35" t="str">
        <f>'FOUND DATA'!P4</f>
        <v>Class C</v>
      </c>
      <c r="D1" s="35" t="str">
        <f>'FOUND DATA'!Q4</f>
        <v>Class B</v>
      </c>
      <c r="E1" s="35" t="str">
        <f>'FOUND DATA'!R4</f>
        <v>Class A</v>
      </c>
    </row>
    <row r="2">
      <c r="A2" s="35">
        <f>'FOUND DATA'!N5</f>
        <v>0.48</v>
      </c>
      <c r="B2" s="35">
        <f>'FOUND DATA'!O5</f>
        <v>1.58</v>
      </c>
      <c r="C2" s="35">
        <f>'FOUND DATA'!P5</f>
        <v>4.11</v>
      </c>
      <c r="D2" s="35">
        <f>'FOUND DATA'!Q5</f>
        <v>15.03</v>
      </c>
      <c r="E2" s="35">
        <f>'FOUND DATA'!R5</f>
        <v>78.8</v>
      </c>
    </row>
    <row r="3">
      <c r="A3" s="35">
        <f>'FOUND DATA'!N6</f>
        <v>1.2</v>
      </c>
      <c r="B3" s="35">
        <f>'FOUND DATA'!O6</f>
        <v>4.82</v>
      </c>
      <c r="C3" s="35">
        <f>'FOUND DATA'!P6</f>
        <v>19.28</v>
      </c>
      <c r="D3" s="35">
        <f>'FOUND DATA'!Q6</f>
        <v>39.76</v>
      </c>
      <c r="E3" s="35">
        <f>'FOUND DATA'!R6</f>
        <v>34.94</v>
      </c>
    </row>
    <row r="4">
      <c r="A4" s="35">
        <f>'FOUND DATA'!N7</f>
        <v>0</v>
      </c>
      <c r="B4" s="35">
        <f>'FOUND DATA'!O7</f>
        <v>5.97</v>
      </c>
      <c r="C4" s="35">
        <f>'FOUND DATA'!P7</f>
        <v>16.42</v>
      </c>
      <c r="D4" s="35">
        <f>'FOUND DATA'!Q7</f>
        <v>41.79</v>
      </c>
      <c r="E4" s="35">
        <f>'FOUND DATA'!R7</f>
        <v>35.82</v>
      </c>
    </row>
    <row r="5">
      <c r="A5" s="35">
        <f>'FOUND DATA'!N8</f>
        <v>3.17</v>
      </c>
      <c r="B5" s="35">
        <f>'FOUND DATA'!O8</f>
        <v>6.35</v>
      </c>
      <c r="C5" s="35">
        <f>'FOUND DATA'!P8</f>
        <v>16.67</v>
      </c>
      <c r="D5" s="35">
        <f>'FOUND DATA'!Q8</f>
        <v>48.41</v>
      </c>
      <c r="E5" s="35">
        <f>'FOUND DATA'!R8</f>
        <v>25.4</v>
      </c>
    </row>
    <row r="6">
      <c r="A6" s="35">
        <f>'FOUND DATA'!N9</f>
        <v>3.43</v>
      </c>
      <c r="B6" s="35">
        <f>'FOUND DATA'!O9</f>
        <v>2.05</v>
      </c>
      <c r="C6" s="35">
        <f>'FOUND DATA'!P9</f>
        <v>32.19</v>
      </c>
      <c r="D6" s="35">
        <f>'FOUND DATA'!Q9</f>
        <v>45.21</v>
      </c>
      <c r="E6" s="35">
        <f>'FOUND DATA'!R9</f>
        <v>17.12</v>
      </c>
    </row>
    <row r="7">
      <c r="A7" s="35">
        <f>'FOUND DATA'!N10</f>
        <v>5.63</v>
      </c>
      <c r="B7" s="35">
        <f>'FOUND DATA'!O10</f>
        <v>3.52</v>
      </c>
      <c r="C7" s="35">
        <f>'FOUND DATA'!P10</f>
        <v>17.61</v>
      </c>
      <c r="D7" s="35">
        <f>'FOUND DATA'!Q10</f>
        <v>39.44</v>
      </c>
      <c r="E7" s="35">
        <f>'FOUND DATA'!R10</f>
        <v>33.8</v>
      </c>
    </row>
    <row r="8">
      <c r="A8" s="35">
        <f>'FOUND DATA'!N11</f>
        <v>5.36</v>
      </c>
      <c r="B8" s="35">
        <f>'FOUND DATA'!O11</f>
        <v>6.55</v>
      </c>
      <c r="C8" s="35">
        <f>'FOUND DATA'!P11</f>
        <v>19.64</v>
      </c>
      <c r="D8" s="35">
        <f>'FOUND DATA'!Q11</f>
        <v>35.12</v>
      </c>
      <c r="E8" s="35">
        <f>'FOUND DATA'!R11</f>
        <v>33.33</v>
      </c>
    </row>
    <row r="9">
      <c r="A9" s="35">
        <f>'FOUND DATA'!N12</f>
        <v>7.5</v>
      </c>
      <c r="B9" s="35">
        <f>'FOUND DATA'!O12</f>
        <v>6.25</v>
      </c>
      <c r="C9" s="35">
        <f>'FOUND DATA'!P12</f>
        <v>22.5</v>
      </c>
      <c r="D9" s="35">
        <f>'FOUND DATA'!Q12</f>
        <v>34.38</v>
      </c>
      <c r="E9" s="35">
        <f>'FOUND DATA'!R12</f>
        <v>29.37</v>
      </c>
    </row>
    <row r="10">
      <c r="A10" s="35">
        <f>'FOUND DATA'!N13</f>
        <v>7.1</v>
      </c>
      <c r="B10" s="35">
        <f>'FOUND DATA'!O13</f>
        <v>7.1</v>
      </c>
      <c r="C10" s="35">
        <f>'FOUND DATA'!P13</f>
        <v>12.26</v>
      </c>
      <c r="D10" s="35">
        <f>'FOUND DATA'!Q13</f>
        <v>34.19</v>
      </c>
      <c r="E10" s="35">
        <f>'FOUND DATA'!R13</f>
        <v>39.35</v>
      </c>
    </row>
    <row r="11">
      <c r="A11" s="35">
        <f>'FOUND DATA'!N14</f>
        <v>6.56</v>
      </c>
      <c r="B11" s="35">
        <f>'FOUND DATA'!O14</f>
        <v>2.19</v>
      </c>
      <c r="C11" s="35">
        <f>'FOUND DATA'!P14</f>
        <v>10.95</v>
      </c>
      <c r="D11" s="35">
        <f>'FOUND DATA'!Q14</f>
        <v>35.77</v>
      </c>
      <c r="E11" s="35">
        <f>'FOUND DATA'!R14</f>
        <v>44.53</v>
      </c>
    </row>
    <row r="12">
      <c r="A12" s="35">
        <f>'FOUND DATA'!N15</f>
        <v>1.55</v>
      </c>
      <c r="B12" s="35">
        <f>'FOUND DATA'!O15</f>
        <v>0.78</v>
      </c>
      <c r="C12" s="35">
        <f>'FOUND DATA'!P15</f>
        <v>17.83</v>
      </c>
      <c r="D12" s="35">
        <f>'FOUND DATA'!Q15</f>
        <v>41.86</v>
      </c>
      <c r="E12" s="35">
        <f>'FOUND DATA'!R15</f>
        <v>37.98</v>
      </c>
    </row>
    <row r="13">
      <c r="A13" s="35">
        <f>'FOUND DATA'!N16</f>
        <v>3.85</v>
      </c>
      <c r="B13" s="35">
        <f>'FOUND DATA'!O16</f>
        <v>3.08</v>
      </c>
      <c r="C13" s="35">
        <f>'FOUND DATA'!P16</f>
        <v>13.07</v>
      </c>
      <c r="D13" s="35">
        <f>'FOUND DATA'!Q16</f>
        <v>40</v>
      </c>
      <c r="E13" s="35">
        <f>'FOUND DATA'!R16</f>
        <v>40</v>
      </c>
    </row>
    <row r="14">
      <c r="A14" s="35">
        <f>'FOUND DATA'!N17</f>
        <v>2.42</v>
      </c>
      <c r="B14" s="35">
        <f>'FOUND DATA'!O17</f>
        <v>0</v>
      </c>
      <c r="C14" s="35">
        <f>'FOUND DATA'!P17</f>
        <v>4.03</v>
      </c>
      <c r="D14" s="35">
        <f>'FOUND DATA'!Q17</f>
        <v>17.74</v>
      </c>
      <c r="E14" s="35">
        <f>'FOUND DATA'!R17</f>
        <v>75.81</v>
      </c>
    </row>
    <row r="15">
      <c r="A15" s="35">
        <f>'FOUND DATA'!N18</f>
        <v>2.87</v>
      </c>
      <c r="B15" s="35">
        <f>'FOUND DATA'!O18</f>
        <v>9.2</v>
      </c>
      <c r="C15" s="35">
        <f>'FOUND DATA'!P18</f>
        <v>29.89</v>
      </c>
      <c r="D15" s="35">
        <f>'FOUND DATA'!Q18</f>
        <v>35.63</v>
      </c>
      <c r="E15" s="35">
        <f>'FOUND DATA'!R18</f>
        <v>22.41</v>
      </c>
    </row>
    <row r="16">
      <c r="A16" s="35">
        <f>'FOUND DATA'!N19</f>
        <v>7.15</v>
      </c>
      <c r="B16" s="35">
        <f>'FOUND DATA'!O19</f>
        <v>0</v>
      </c>
      <c r="C16" s="35">
        <f>'FOUND DATA'!P19</f>
        <v>28.57</v>
      </c>
      <c r="D16" s="35">
        <f>'FOUND DATA'!Q19</f>
        <v>28.57</v>
      </c>
      <c r="E16" s="35">
        <f>'FOUND DATA'!R19</f>
        <v>35.71</v>
      </c>
    </row>
    <row r="17">
      <c r="A17" s="35">
        <f>'FOUND DATA'!N20</f>
        <v>6.9</v>
      </c>
      <c r="B17" s="35">
        <f>'FOUND DATA'!O20</f>
        <v>3.45</v>
      </c>
      <c r="C17" s="35">
        <f>'FOUND DATA'!P20</f>
        <v>6.9</v>
      </c>
      <c r="D17" s="35">
        <f>'FOUND DATA'!Q20</f>
        <v>37.93</v>
      </c>
      <c r="E17" s="35">
        <f>'FOUND DATA'!R20</f>
        <v>44.82</v>
      </c>
    </row>
    <row r="18">
      <c r="A18" s="35">
        <f>'FOUND DATA'!N21</f>
        <v>1.72</v>
      </c>
      <c r="B18" s="35">
        <f>'FOUND DATA'!O21</f>
        <v>1.72</v>
      </c>
      <c r="C18" s="35">
        <f>'FOUND DATA'!P21</f>
        <v>13.79</v>
      </c>
      <c r="D18" s="35">
        <f>'FOUND DATA'!Q21</f>
        <v>31.03</v>
      </c>
      <c r="E18" s="35">
        <f>'FOUND DATA'!R21</f>
        <v>51.74</v>
      </c>
    </row>
    <row r="19">
      <c r="A19" s="35">
        <f>'FOUND DATA'!N22</f>
        <v>0</v>
      </c>
      <c r="B19" s="35">
        <f>'FOUND DATA'!O22</f>
        <v>0</v>
      </c>
      <c r="C19" s="35">
        <f>'FOUND DATA'!P22</f>
        <v>0</v>
      </c>
      <c r="D19" s="35">
        <f>'FOUND DATA'!Q22</f>
        <v>37.04</v>
      </c>
      <c r="E19" s="35">
        <f>'FOUND DATA'!R22</f>
        <v>62.96</v>
      </c>
    </row>
    <row r="20">
      <c r="A20" s="35">
        <f>'FOUND DATA'!N23</f>
        <v>0</v>
      </c>
      <c r="B20" s="35">
        <f>'FOUND DATA'!O23</f>
        <v>0</v>
      </c>
      <c r="C20" s="35">
        <f>'FOUND DATA'!P23</f>
        <v>0</v>
      </c>
      <c r="D20" s="35">
        <f>'FOUND DATA'!Q23</f>
        <v>63.64</v>
      </c>
      <c r="E20" s="35">
        <f>'FOUND DATA'!R23</f>
        <v>36.36</v>
      </c>
    </row>
    <row r="21">
      <c r="A21" s="35">
        <f>'FOUND DATA'!N24</f>
        <v>0</v>
      </c>
      <c r="B21" s="35">
        <f>'FOUND DATA'!O24</f>
        <v>0</v>
      </c>
      <c r="C21" s="35">
        <f>'FOUND DATA'!P24</f>
        <v>0</v>
      </c>
      <c r="D21" s="35">
        <f>'FOUND DATA'!Q24</f>
        <v>11.11</v>
      </c>
      <c r="E21" s="35">
        <f>'FOUND DATA'!R24</f>
        <v>88.89</v>
      </c>
    </row>
    <row r="22">
      <c r="A22" s="35">
        <f>'FOUND DATA'!N25</f>
        <v>0.95</v>
      </c>
      <c r="B22" s="35">
        <f>'FOUND DATA'!O25</f>
        <v>0.47</v>
      </c>
      <c r="C22" s="35">
        <f>'FOUND DATA'!P25</f>
        <v>3.32</v>
      </c>
      <c r="D22" s="35">
        <f>'FOUND DATA'!Q25</f>
        <v>15.64</v>
      </c>
      <c r="E22" s="35">
        <f>'FOUND DATA'!R25</f>
        <v>79.62</v>
      </c>
    </row>
    <row r="23">
      <c r="A23" s="35">
        <f>'FOUND DATA'!N26</f>
        <v>0</v>
      </c>
      <c r="B23" s="35">
        <f>'FOUND DATA'!O26</f>
        <v>0</v>
      </c>
      <c r="C23" s="35">
        <f>'FOUND DATA'!P26</f>
        <v>17.39</v>
      </c>
      <c r="D23" s="35">
        <f>'FOUND DATA'!Q26</f>
        <v>34.78</v>
      </c>
      <c r="E23" s="35">
        <f>'FOUND DATA'!R26</f>
        <v>47.83</v>
      </c>
    </row>
    <row r="24">
      <c r="A24" s="35">
        <f>'FOUND DATA'!N27</f>
        <v>0</v>
      </c>
      <c r="B24" s="35">
        <f>'FOUND DATA'!O27</f>
        <v>0</v>
      </c>
      <c r="C24" s="35">
        <f>'FOUND DATA'!P27</f>
        <v>5.41</v>
      </c>
      <c r="D24" s="35">
        <f>'FOUND DATA'!Q27</f>
        <v>37.84</v>
      </c>
      <c r="E24" s="35">
        <f>'FOUND DATA'!R27</f>
        <v>56.75</v>
      </c>
    </row>
    <row r="25">
      <c r="A25" s="35">
        <f>'FOUND DATA'!N28</f>
        <v>0</v>
      </c>
      <c r="B25" s="35">
        <f>'FOUND DATA'!O28</f>
        <v>0</v>
      </c>
      <c r="C25" s="35">
        <f>'FOUND DATA'!P28</f>
        <v>26.67</v>
      </c>
      <c r="D25" s="35">
        <f>'FOUND DATA'!Q28</f>
        <v>60</v>
      </c>
      <c r="E25" s="35">
        <f>'FOUND DATA'!R28</f>
        <v>13.33</v>
      </c>
    </row>
    <row r="26">
      <c r="A26" s="35">
        <f>'FOUND DATA'!N29</f>
        <v>1.31</v>
      </c>
      <c r="B26" s="35">
        <f>'FOUND DATA'!O29</f>
        <v>0</v>
      </c>
      <c r="C26" s="35">
        <f>'FOUND DATA'!P29</f>
        <v>1.96</v>
      </c>
      <c r="D26" s="35">
        <f>'FOUND DATA'!Q29</f>
        <v>11.76</v>
      </c>
      <c r="E26" s="35">
        <f>'FOUND DATA'!R29</f>
        <v>84.97</v>
      </c>
    </row>
    <row r="27">
      <c r="A27" s="35">
        <f>'FOUND DATA'!N30</f>
        <v>0.71</v>
      </c>
      <c r="B27" s="35">
        <f>'FOUND DATA'!O30</f>
        <v>0</v>
      </c>
      <c r="C27" s="35">
        <f>'FOUND DATA'!P30</f>
        <v>13.57</v>
      </c>
      <c r="D27" s="35">
        <f>'FOUND DATA'!Q30</f>
        <v>51.43</v>
      </c>
      <c r="E27" s="35">
        <f>'FOUND DATA'!R30</f>
        <v>34.29</v>
      </c>
    </row>
    <row r="28">
      <c r="A28" s="35">
        <f>'FOUND DATA'!N31</f>
        <v>2.74</v>
      </c>
      <c r="B28" s="35">
        <f>'FOUND DATA'!O31</f>
        <v>5.48</v>
      </c>
      <c r="C28" s="35">
        <f>'FOUND DATA'!P31</f>
        <v>41.1</v>
      </c>
      <c r="D28" s="35">
        <f>'FOUND DATA'!Q31</f>
        <v>35.62</v>
      </c>
      <c r="E28" s="35">
        <f>'FOUND DATA'!R31</f>
        <v>15.06</v>
      </c>
    </row>
    <row r="29">
      <c r="A29" s="35">
        <f>'FOUND DATA'!N32</f>
        <v>1.56</v>
      </c>
      <c r="B29" s="35">
        <f>'FOUND DATA'!O32</f>
        <v>10.94</v>
      </c>
      <c r="C29" s="35">
        <f>'FOUND DATA'!P32</f>
        <v>18.75</v>
      </c>
      <c r="D29" s="35">
        <f>'FOUND DATA'!Q32</f>
        <v>42.19</v>
      </c>
      <c r="E29" s="35">
        <f>'FOUND DATA'!R32</f>
        <v>26.56</v>
      </c>
    </row>
    <row r="30">
      <c r="A30" s="35">
        <f>'FOUND DATA'!N33</f>
        <v>1.39</v>
      </c>
      <c r="B30" s="35">
        <f>'FOUND DATA'!O33</f>
        <v>11.11</v>
      </c>
      <c r="C30" s="35">
        <f>'FOUND DATA'!P33</f>
        <v>33.33</v>
      </c>
      <c r="D30" s="35">
        <f>'FOUND DATA'!Q33</f>
        <v>36.11</v>
      </c>
      <c r="E30" s="35">
        <f>'FOUND DATA'!R33</f>
        <v>18.06</v>
      </c>
    </row>
    <row r="31">
      <c r="A31" s="35">
        <f>'FOUND DATA'!N34</f>
        <v>1.96</v>
      </c>
      <c r="B31" s="35">
        <f>'FOUND DATA'!O34</f>
        <v>1.96</v>
      </c>
      <c r="C31" s="35">
        <f>'FOUND DATA'!P34</f>
        <v>3.92</v>
      </c>
      <c r="D31" s="35">
        <f>'FOUND DATA'!Q34</f>
        <v>23.53</v>
      </c>
      <c r="E31" s="35">
        <f>'FOUND DATA'!R34</f>
        <v>68.63</v>
      </c>
    </row>
    <row r="32">
      <c r="A32" s="35">
        <f>'FOUND DATA'!N35</f>
        <v>0</v>
      </c>
      <c r="B32" s="35">
        <f>'FOUND DATA'!O35</f>
        <v>11.37</v>
      </c>
      <c r="C32" s="35">
        <f>'FOUND DATA'!P35</f>
        <v>9.09</v>
      </c>
      <c r="D32" s="35">
        <f>'FOUND DATA'!Q35</f>
        <v>36.36</v>
      </c>
      <c r="E32" s="35">
        <f>'FOUND DATA'!R35</f>
        <v>43.18</v>
      </c>
    </row>
    <row r="33">
      <c r="A33" s="35">
        <f>'FOUND DATA'!N36</f>
        <v>3.57</v>
      </c>
      <c r="B33" s="35">
        <f>'FOUND DATA'!O36</f>
        <v>3.57</v>
      </c>
      <c r="C33" s="35">
        <f>'FOUND DATA'!P36</f>
        <v>17.86</v>
      </c>
      <c r="D33" s="35">
        <f>'FOUND DATA'!Q36</f>
        <v>32.14</v>
      </c>
      <c r="E33" s="35">
        <f>'FOUND DATA'!R36</f>
        <v>42.86</v>
      </c>
    </row>
    <row r="34">
      <c r="A34" s="35">
        <f>'FOUND DATA'!N37</f>
        <v>0</v>
      </c>
      <c r="B34" s="35">
        <f>'FOUND DATA'!O37</f>
        <v>4.166666667</v>
      </c>
      <c r="C34" s="35">
        <f>'FOUND DATA'!P37</f>
        <v>0</v>
      </c>
      <c r="D34" s="35">
        <f>'FOUND DATA'!Q37</f>
        <v>41.66666667</v>
      </c>
      <c r="E34" s="35">
        <f>'FOUND DATA'!R37</f>
        <v>54.16666667</v>
      </c>
    </row>
    <row r="35">
      <c r="A35" s="35">
        <f>'FOUND DATA'!N38</f>
        <v>1.612903226</v>
      </c>
      <c r="B35" s="35">
        <f>'FOUND DATA'!O38</f>
        <v>0</v>
      </c>
      <c r="C35" s="35">
        <f>'FOUND DATA'!P38</f>
        <v>17.74193548</v>
      </c>
      <c r="D35" s="35">
        <f>'FOUND DATA'!Q38</f>
        <v>22.58064516</v>
      </c>
      <c r="E35" s="35">
        <f>'FOUND DATA'!R38</f>
        <v>58.06451613</v>
      </c>
    </row>
    <row r="36">
      <c r="A36" s="35">
        <f>'FOUND DATA'!N39</f>
        <v>3.77</v>
      </c>
      <c r="B36" s="35">
        <f>'FOUND DATA'!O39</f>
        <v>1.89</v>
      </c>
      <c r="C36" s="35">
        <f>'FOUND DATA'!P39</f>
        <v>3.77</v>
      </c>
      <c r="D36" s="35">
        <f>'FOUND DATA'!Q39</f>
        <v>15.09</v>
      </c>
      <c r="E36" s="35">
        <f>'FOUND DATA'!R39</f>
        <v>75.48</v>
      </c>
    </row>
    <row r="37">
      <c r="A37" s="35">
        <f>'FOUND DATA'!N40</f>
        <v>5.37</v>
      </c>
      <c r="B37" s="35">
        <f>'FOUND DATA'!O40</f>
        <v>5.37</v>
      </c>
      <c r="C37" s="35">
        <f>'FOUND DATA'!P40</f>
        <v>8.72</v>
      </c>
      <c r="D37" s="35">
        <f>'FOUND DATA'!Q40</f>
        <v>26.85</v>
      </c>
      <c r="E37" s="35">
        <f>'FOUND DATA'!R40</f>
        <v>53.69</v>
      </c>
    </row>
    <row r="38">
      <c r="A38" s="35">
        <f>'FOUND DATA'!N41</f>
        <v>3.21</v>
      </c>
      <c r="B38" s="35">
        <f>'FOUND DATA'!O41</f>
        <v>1.92</v>
      </c>
      <c r="C38" s="35">
        <f>'FOUND DATA'!P41</f>
        <v>10.9</v>
      </c>
      <c r="D38" s="35">
        <f>'FOUND DATA'!Q41</f>
        <v>26.28</v>
      </c>
      <c r="E38" s="35">
        <f>'FOUND DATA'!R41</f>
        <v>57.69</v>
      </c>
    </row>
    <row r="39">
      <c r="A39" s="35">
        <f>'FOUND DATA'!N42</f>
        <v>6.54</v>
      </c>
      <c r="B39" s="35">
        <f>'FOUND DATA'!O42</f>
        <v>2.61</v>
      </c>
      <c r="C39" s="35">
        <f>'FOUND DATA'!P42</f>
        <v>15.03</v>
      </c>
      <c r="D39" s="35">
        <f>'FOUND DATA'!Q42</f>
        <v>17.65</v>
      </c>
      <c r="E39" s="35">
        <f>'FOUND DATA'!R42</f>
        <v>58.17</v>
      </c>
    </row>
    <row r="40">
      <c r="A40" s="35">
        <f>'FOUND DATA'!N43</f>
        <v>0</v>
      </c>
      <c r="B40" s="35">
        <f>'FOUND DATA'!O43</f>
        <v>2.5</v>
      </c>
      <c r="C40" s="35">
        <f>'FOUND DATA'!P43</f>
        <v>7.5</v>
      </c>
      <c r="D40" s="35">
        <f>'FOUND DATA'!Q43</f>
        <v>40</v>
      </c>
      <c r="E40" s="35">
        <f>'FOUND DATA'!R43</f>
        <v>50</v>
      </c>
    </row>
    <row r="41">
      <c r="A41" s="35">
        <f>'FOUND DATA'!N44</f>
        <v>0</v>
      </c>
      <c r="B41" s="35">
        <f>'FOUND DATA'!O44</f>
        <v>0</v>
      </c>
      <c r="C41" s="35">
        <f>'FOUND DATA'!P44</f>
        <v>18.18</v>
      </c>
      <c r="D41" s="35">
        <f>'FOUND DATA'!Q44</f>
        <v>36.37</v>
      </c>
      <c r="E41" s="35">
        <f>'FOUND DATA'!R44</f>
        <v>45.45</v>
      </c>
    </row>
    <row r="42">
      <c r="A42" s="35">
        <f>'FOUND DATA'!N45</f>
        <v>2.42</v>
      </c>
      <c r="B42" s="35">
        <f>'FOUND DATA'!O45</f>
        <v>5.14</v>
      </c>
      <c r="C42" s="35">
        <f>'FOUND DATA'!P45</f>
        <v>18.72</v>
      </c>
      <c r="D42" s="35">
        <f>'FOUND DATA'!Q45</f>
        <v>35.35</v>
      </c>
      <c r="E42" s="35">
        <f>'FOUND DATA'!R45</f>
        <v>38.37</v>
      </c>
    </row>
    <row r="43">
      <c r="A43" s="35">
        <f>'FOUND DATA'!N46</f>
        <v>0</v>
      </c>
      <c r="B43" s="35">
        <f>'FOUND DATA'!O46</f>
        <v>0</v>
      </c>
      <c r="C43" s="35">
        <f>'FOUND DATA'!P46</f>
        <v>0</v>
      </c>
      <c r="D43" s="35">
        <f>'FOUND DATA'!Q46</f>
        <v>3.571428571</v>
      </c>
      <c r="E43" s="35">
        <f>'FOUND DATA'!R46</f>
        <v>96.42857143</v>
      </c>
    </row>
    <row r="44">
      <c r="A44" s="35">
        <f>'FOUND DATA'!N47</f>
        <v>0</v>
      </c>
      <c r="B44" s="35">
        <f>'FOUND DATA'!O47</f>
        <v>0</v>
      </c>
      <c r="C44" s="35">
        <f>'FOUND DATA'!P47</f>
        <v>12.5</v>
      </c>
      <c r="D44" s="35">
        <f>'FOUND DATA'!Q47</f>
        <v>12.5</v>
      </c>
      <c r="E44" s="35">
        <f>'FOUND DATA'!R47</f>
        <v>75</v>
      </c>
    </row>
    <row r="45">
      <c r="A45" s="35">
        <f>'FOUND DATA'!N48</f>
        <v>0</v>
      </c>
      <c r="B45" s="35">
        <f>'FOUND DATA'!O48</f>
        <v>0</v>
      </c>
      <c r="C45" s="35">
        <f>'FOUND DATA'!P48</f>
        <v>2.083333333</v>
      </c>
      <c r="D45" s="35">
        <f>'FOUND DATA'!Q48</f>
        <v>12.5</v>
      </c>
      <c r="E45" s="35">
        <f>'FOUND DATA'!R48</f>
        <v>85.41666667</v>
      </c>
    </row>
    <row r="46">
      <c r="A46" s="35">
        <f>'FOUND DATA'!N49</f>
        <v>6.06</v>
      </c>
      <c r="B46" s="35">
        <f>'FOUND DATA'!O49</f>
        <v>18.18</v>
      </c>
      <c r="C46" s="35">
        <f>'FOUND DATA'!P49</f>
        <v>24.24</v>
      </c>
      <c r="D46" s="35">
        <f>'FOUND DATA'!Q49</f>
        <v>18.18</v>
      </c>
      <c r="E46" s="35">
        <f>'FOUND DATA'!R49</f>
        <v>33.34</v>
      </c>
    </row>
    <row r="47">
      <c r="A47" s="35">
        <f>'FOUND DATA'!N50</f>
        <v>6.45</v>
      </c>
      <c r="B47" s="35">
        <f>'FOUND DATA'!O50</f>
        <v>0</v>
      </c>
      <c r="C47" s="35">
        <f>'FOUND DATA'!P50</f>
        <v>22.58</v>
      </c>
      <c r="D47" s="35">
        <f>'FOUND DATA'!Q50</f>
        <v>48.39</v>
      </c>
      <c r="E47" s="35">
        <f>'FOUND DATA'!R50</f>
        <v>22.58</v>
      </c>
    </row>
    <row r="48">
      <c r="A48" s="35">
        <f>'FOUND DATA'!N51</f>
        <v>0</v>
      </c>
      <c r="B48" s="35">
        <f>'FOUND DATA'!O51</f>
        <v>0</v>
      </c>
      <c r="C48" s="35">
        <f>'FOUND DATA'!P51</f>
        <v>0.95</v>
      </c>
      <c r="D48" s="35">
        <f>'FOUND DATA'!Q51</f>
        <v>23.81</v>
      </c>
      <c r="E48" s="35">
        <f>'FOUND DATA'!R51</f>
        <v>75.24</v>
      </c>
    </row>
    <row r="49">
      <c r="A49" s="35">
        <f>'FOUND DATA'!N52</f>
        <v>0</v>
      </c>
      <c r="B49" s="35">
        <f>'FOUND DATA'!O52</f>
        <v>6.67</v>
      </c>
      <c r="C49" s="35">
        <f>'FOUND DATA'!P52</f>
        <v>46.66</v>
      </c>
      <c r="D49" s="35">
        <f>'FOUND DATA'!Q52</f>
        <v>10</v>
      </c>
      <c r="E49" s="35">
        <f>'FOUND DATA'!R52</f>
        <v>36.67</v>
      </c>
    </row>
    <row r="50">
      <c r="A50" s="35">
        <f>'FOUND DATA'!N53</f>
        <v>0</v>
      </c>
      <c r="B50" s="35">
        <f>'FOUND DATA'!O53</f>
        <v>3.333333333</v>
      </c>
      <c r="C50" s="35">
        <f>'FOUND DATA'!P53</f>
        <v>16.66666667</v>
      </c>
      <c r="D50" s="35">
        <f>'FOUND DATA'!Q53</f>
        <v>26.66666667</v>
      </c>
      <c r="E50" s="35">
        <f>'FOUND DATA'!R53</f>
        <v>53.33333333</v>
      </c>
    </row>
    <row r="51">
      <c r="A51" s="35">
        <f>'FOUND DATA'!N54</f>
        <v>4</v>
      </c>
      <c r="B51" s="35">
        <f>'FOUND DATA'!O54</f>
        <v>4</v>
      </c>
      <c r="C51" s="35">
        <f>'FOUND DATA'!P54</f>
        <v>14</v>
      </c>
      <c r="D51" s="35">
        <f>'FOUND DATA'!Q54</f>
        <v>38</v>
      </c>
      <c r="E51" s="35">
        <f>'FOUND DATA'!R54</f>
        <v>40</v>
      </c>
    </row>
    <row r="52">
      <c r="A52" s="35">
        <f>'FOUND DATA'!N55</f>
        <v>0</v>
      </c>
      <c r="B52" s="35">
        <f>'FOUND DATA'!O55</f>
        <v>0</v>
      </c>
      <c r="C52" s="35">
        <f>'FOUND DATA'!P55</f>
        <v>0</v>
      </c>
      <c r="D52" s="35">
        <f>'FOUND DATA'!Q55</f>
        <v>9.52</v>
      </c>
      <c r="E52" s="35">
        <f>'FOUND DATA'!R55</f>
        <v>90.48</v>
      </c>
    </row>
    <row r="53">
      <c r="A53" s="35">
        <f>'FOUND DATA'!N56</f>
        <v>1.265822785</v>
      </c>
      <c r="B53" s="35">
        <f>'FOUND DATA'!O56</f>
        <v>0</v>
      </c>
      <c r="C53" s="35">
        <f>'FOUND DATA'!P56</f>
        <v>20.25316456</v>
      </c>
      <c r="D53" s="35">
        <f>'FOUND DATA'!Q56</f>
        <v>46.83544304</v>
      </c>
      <c r="E53" s="35">
        <f>'FOUND DATA'!R56</f>
        <v>31.64556962</v>
      </c>
    </row>
    <row r="54">
      <c r="A54" s="35">
        <f>'FOUND DATA'!N57</f>
        <v>0</v>
      </c>
      <c r="B54" s="35">
        <f>'FOUND DATA'!O57</f>
        <v>6.666666667</v>
      </c>
      <c r="C54" s="35">
        <f>'FOUND DATA'!P57</f>
        <v>46.66666667</v>
      </c>
      <c r="D54" s="35">
        <f>'FOUND DATA'!Q57</f>
        <v>10</v>
      </c>
      <c r="E54" s="35">
        <f>'FOUND DATA'!R57</f>
        <v>36.66666667</v>
      </c>
    </row>
    <row r="55">
      <c r="A55" s="35">
        <f>'FOUND DATA'!N58</f>
        <v>1.83</v>
      </c>
      <c r="B55" s="35">
        <f>'FOUND DATA'!O58</f>
        <v>1.83</v>
      </c>
      <c r="C55" s="35">
        <f>'FOUND DATA'!P58</f>
        <v>30.28</v>
      </c>
      <c r="D55" s="35">
        <f>'FOUND DATA'!Q58</f>
        <v>38.53</v>
      </c>
      <c r="E55" s="35">
        <f>'FOUND DATA'!R58</f>
        <v>27.53</v>
      </c>
    </row>
    <row r="56">
      <c r="A56" s="35">
        <f>'FOUND DATA'!N59</f>
        <v>0</v>
      </c>
      <c r="B56" s="35">
        <f>'FOUND DATA'!O59</f>
        <v>0</v>
      </c>
      <c r="C56" s="35">
        <f>'FOUND DATA'!P59</f>
        <v>8.43</v>
      </c>
      <c r="D56" s="35">
        <f>'FOUND DATA'!Q59</f>
        <v>42.17</v>
      </c>
      <c r="E56" s="35">
        <f>'FOUND DATA'!R59</f>
        <v>49.4</v>
      </c>
    </row>
    <row r="57">
      <c r="A57" s="35">
        <f>'FOUND DATA'!N60</f>
        <v>2.25</v>
      </c>
      <c r="B57" s="35">
        <f>'FOUND DATA'!O60</f>
        <v>1.12</v>
      </c>
      <c r="C57" s="35">
        <f>'FOUND DATA'!P60</f>
        <v>8.99</v>
      </c>
      <c r="D57" s="35">
        <f>'FOUND DATA'!Q60</f>
        <v>51.69</v>
      </c>
      <c r="E57" s="35">
        <f>'FOUND DATA'!R60</f>
        <v>35.95</v>
      </c>
    </row>
    <row r="58">
      <c r="A58" s="35">
        <f>'FOUND DATA'!N61</f>
        <v>0</v>
      </c>
      <c r="B58" s="35">
        <f>'FOUND DATA'!O61</f>
        <v>1.41</v>
      </c>
      <c r="C58" s="35">
        <f>'FOUND DATA'!P61</f>
        <v>23.94</v>
      </c>
      <c r="D58" s="35">
        <f>'FOUND DATA'!Q61</f>
        <v>35.21</v>
      </c>
      <c r="E58" s="35">
        <f>'FOUND DATA'!R61</f>
        <v>39.44</v>
      </c>
    </row>
    <row r="59">
      <c r="A59" s="35">
        <f>'FOUND DATA'!N62</f>
        <v>0</v>
      </c>
      <c r="B59" s="35">
        <f>'FOUND DATA'!O62</f>
        <v>8.33</v>
      </c>
      <c r="C59" s="35">
        <f>'FOUND DATA'!P62</f>
        <v>8.33</v>
      </c>
      <c r="D59" s="35">
        <f>'FOUND DATA'!Q62</f>
        <v>58.34</v>
      </c>
      <c r="E59" s="35">
        <f>'FOUND DATA'!R62</f>
        <v>25</v>
      </c>
    </row>
    <row r="60">
      <c r="A60" s="35">
        <f>'FOUND DATA'!N63</f>
        <v>0</v>
      </c>
      <c r="B60" s="35">
        <f>'FOUND DATA'!O63</f>
        <v>5</v>
      </c>
      <c r="C60" s="35">
        <f>'FOUND DATA'!P63</f>
        <v>10</v>
      </c>
      <c r="D60" s="35">
        <f>'FOUND DATA'!Q63</f>
        <v>30</v>
      </c>
      <c r="E60" s="35">
        <f>'FOUND DATA'!R63</f>
        <v>55</v>
      </c>
    </row>
    <row r="61">
      <c r="A61" s="35">
        <f>'FOUND DATA'!N64</f>
        <v>0</v>
      </c>
      <c r="B61" s="35">
        <f>'FOUND DATA'!O64</f>
        <v>0</v>
      </c>
      <c r="C61" s="35">
        <f>'FOUND DATA'!P64</f>
        <v>9.09</v>
      </c>
      <c r="D61" s="35">
        <f>'FOUND DATA'!Q64</f>
        <v>50</v>
      </c>
      <c r="E61" s="35">
        <f>'FOUND DATA'!R64</f>
        <v>40.91</v>
      </c>
    </row>
    <row r="62">
      <c r="A62" s="35">
        <f>'FOUND DATA'!N65</f>
        <v>2.797202797</v>
      </c>
      <c r="B62" s="35">
        <f>'FOUND DATA'!O65</f>
        <v>4.895104895</v>
      </c>
      <c r="C62" s="35">
        <f>'FOUND DATA'!P65</f>
        <v>11.88811189</v>
      </c>
      <c r="D62" s="35">
        <f>'FOUND DATA'!Q65</f>
        <v>20.27972028</v>
      </c>
      <c r="E62" s="35">
        <f>'FOUND DATA'!R65</f>
        <v>60.13986014</v>
      </c>
    </row>
    <row r="63">
      <c r="A63" s="35">
        <f>'FOUND DATA'!N66</f>
        <v>1.111111111</v>
      </c>
      <c r="B63" s="35">
        <f>'FOUND DATA'!O66</f>
        <v>3.333333333</v>
      </c>
      <c r="C63" s="35">
        <f>'FOUND DATA'!P66</f>
        <v>24.44444444</v>
      </c>
      <c r="D63" s="35">
        <f>'FOUND DATA'!Q66</f>
        <v>45.55555556</v>
      </c>
      <c r="E63" s="35">
        <f>'FOUND DATA'!R66</f>
        <v>25.55555556</v>
      </c>
    </row>
    <row r="64">
      <c r="A64" s="35">
        <f>'FOUND DATA'!N67</f>
        <v>0</v>
      </c>
      <c r="B64" s="35">
        <f>'FOUND DATA'!O67</f>
        <v>0</v>
      </c>
      <c r="C64" s="35">
        <f>'FOUND DATA'!P67</f>
        <v>9.090909091</v>
      </c>
      <c r="D64" s="35">
        <f>'FOUND DATA'!Q67</f>
        <v>50.90909091</v>
      </c>
      <c r="E64" s="35">
        <f>'FOUND DATA'!R67</f>
        <v>40</v>
      </c>
    </row>
    <row r="65">
      <c r="A65" s="35">
        <f>'FOUND DATA'!N68</f>
        <v>0.7633587786</v>
      </c>
      <c r="B65" s="35">
        <f>'FOUND DATA'!O68</f>
        <v>4.580152672</v>
      </c>
      <c r="C65" s="35">
        <f>'FOUND DATA'!P68</f>
        <v>35.8778626</v>
      </c>
      <c r="D65" s="35">
        <f>'FOUND DATA'!Q68</f>
        <v>25.95419847</v>
      </c>
      <c r="E65" s="35">
        <f>'FOUND DATA'!R68</f>
        <v>32.82442748</v>
      </c>
    </row>
    <row r="66">
      <c r="A66" s="35">
        <f>'FOUND DATA'!N69</f>
        <v>0</v>
      </c>
      <c r="B66" s="35">
        <f>'FOUND DATA'!O69</f>
        <v>3.125</v>
      </c>
      <c r="C66" s="35">
        <f>'FOUND DATA'!P69</f>
        <v>31.25</v>
      </c>
      <c r="D66" s="35">
        <f>'FOUND DATA'!Q69</f>
        <v>46.875</v>
      </c>
      <c r="E66" s="35">
        <f>'FOUND DATA'!R69</f>
        <v>18.75</v>
      </c>
    </row>
    <row r="67">
      <c r="A67" s="35">
        <f>'FOUND DATA'!N70</f>
        <v>0</v>
      </c>
      <c r="B67" s="35">
        <f>'FOUND DATA'!O70</f>
        <v>1.639344262</v>
      </c>
      <c r="C67" s="35">
        <f>'FOUND DATA'!P70</f>
        <v>39.3442623</v>
      </c>
      <c r="D67" s="35">
        <f>'FOUND DATA'!Q70</f>
        <v>29.50819672</v>
      </c>
      <c r="E67" s="35">
        <f>'FOUND DATA'!R70</f>
        <v>29.50819672</v>
      </c>
    </row>
    <row r="68">
      <c r="A68" s="35">
        <f>'FOUND DATA'!N71</f>
        <v>0</v>
      </c>
      <c r="B68" s="35">
        <f>'FOUND DATA'!O71</f>
        <v>0</v>
      </c>
      <c r="C68" s="35">
        <f>'FOUND DATA'!P71</f>
        <v>2.702702703</v>
      </c>
      <c r="D68" s="35">
        <f>'FOUND DATA'!Q71</f>
        <v>48.64864865</v>
      </c>
      <c r="E68" s="35">
        <f>'FOUND DATA'!R71</f>
        <v>48.64864865</v>
      </c>
    </row>
    <row r="69">
      <c r="A69" s="35">
        <f>'FOUND DATA'!N72</f>
        <v>0</v>
      </c>
      <c r="B69" s="35">
        <f>'FOUND DATA'!O72</f>
        <v>1.17</v>
      </c>
      <c r="C69" s="35">
        <f>'FOUND DATA'!P72</f>
        <v>28.24</v>
      </c>
      <c r="D69" s="35">
        <f>'FOUND DATA'!Q72</f>
        <v>2.35</v>
      </c>
      <c r="E69" s="35">
        <f>'FOUND DATA'!R72</f>
        <v>68.24</v>
      </c>
    </row>
    <row r="70">
      <c r="A70" s="35">
        <f>'FOUND DATA'!N73</f>
        <v>0.6993006993</v>
      </c>
      <c r="B70" s="35">
        <f>'FOUND DATA'!O73</f>
        <v>0</v>
      </c>
      <c r="C70" s="35">
        <f>'FOUND DATA'!P73</f>
        <v>6.293706294</v>
      </c>
      <c r="D70" s="35">
        <f>'FOUND DATA'!Q73</f>
        <v>13.98601399</v>
      </c>
      <c r="E70" s="35">
        <f>'FOUND DATA'!R73</f>
        <v>79.02097902</v>
      </c>
    </row>
    <row r="71">
      <c r="A71" s="35">
        <f>'FOUND DATA'!N74</f>
        <v>1.149425287</v>
      </c>
      <c r="B71" s="35">
        <f>'FOUND DATA'!O74</f>
        <v>3.448275862</v>
      </c>
      <c r="C71" s="35">
        <f>'FOUND DATA'!P74</f>
        <v>25.28735632</v>
      </c>
      <c r="D71" s="35">
        <f>'FOUND DATA'!Q74</f>
        <v>37.93103448</v>
      </c>
      <c r="E71" s="35">
        <f>'FOUND DATA'!R74</f>
        <v>32.18390805</v>
      </c>
    </row>
    <row r="72">
      <c r="A72" s="35">
        <f>'FOUND DATA'!N75</f>
        <v>3.076923077</v>
      </c>
      <c r="B72" s="35">
        <f>'FOUND DATA'!O75</f>
        <v>6.153846154</v>
      </c>
      <c r="C72" s="35">
        <f>'FOUND DATA'!P75</f>
        <v>24.61538462</v>
      </c>
      <c r="D72" s="35">
        <f>'FOUND DATA'!Q75</f>
        <v>28.46153846</v>
      </c>
      <c r="E72" s="35">
        <f>'FOUND DATA'!R75</f>
        <v>37.69230769</v>
      </c>
    </row>
    <row r="73">
      <c r="A73" s="35">
        <f>'FOUND DATA'!N76</f>
        <v>0.7575757576</v>
      </c>
      <c r="B73" s="35">
        <f>'FOUND DATA'!O76</f>
        <v>0</v>
      </c>
      <c r="C73" s="35">
        <f>'FOUND DATA'!P76</f>
        <v>12.87878788</v>
      </c>
      <c r="D73" s="35">
        <f>'FOUND DATA'!Q76</f>
        <v>25.75757576</v>
      </c>
      <c r="E73" s="35">
        <f>'FOUND DATA'!R76</f>
        <v>60.60606061</v>
      </c>
    </row>
    <row r="74">
      <c r="A74" s="35">
        <f>'FOUND DATA'!N77</f>
        <v>4.347826087</v>
      </c>
      <c r="B74" s="35">
        <f>'FOUND DATA'!O77</f>
        <v>2.173913043</v>
      </c>
      <c r="C74" s="35">
        <f>'FOUND DATA'!P77</f>
        <v>13.04347826</v>
      </c>
      <c r="D74" s="35">
        <f>'FOUND DATA'!Q77</f>
        <v>30.43478261</v>
      </c>
      <c r="E74" s="35">
        <f>'FOUND DATA'!R77</f>
        <v>50</v>
      </c>
    </row>
    <row r="75">
      <c r="A75" s="35">
        <f>'FOUND DATA'!N78</f>
        <v>0.6666666667</v>
      </c>
      <c r="B75" s="35">
        <f>'FOUND DATA'!O78</f>
        <v>2.666666667</v>
      </c>
      <c r="C75" s="35">
        <f>'FOUND DATA'!P78</f>
        <v>14</v>
      </c>
      <c r="D75" s="35">
        <f>'FOUND DATA'!Q78</f>
        <v>45.33333333</v>
      </c>
      <c r="E75" s="35">
        <f>'FOUND DATA'!R78</f>
        <v>37.33333333</v>
      </c>
    </row>
    <row r="76">
      <c r="A76" s="35">
        <f>'FOUND DATA'!N79</f>
        <v>1.282051282</v>
      </c>
      <c r="B76" s="35">
        <f>'FOUND DATA'!O79</f>
        <v>0</v>
      </c>
      <c r="C76" s="35">
        <f>'FOUND DATA'!P79</f>
        <v>1.282051282</v>
      </c>
      <c r="D76" s="35">
        <f>'FOUND DATA'!Q79</f>
        <v>8.974358974</v>
      </c>
      <c r="E76" s="35">
        <f>'FOUND DATA'!R79</f>
        <v>88.46153846</v>
      </c>
    </row>
    <row r="77">
      <c r="A77" s="35">
        <f>'FOUND DATA'!N80</f>
        <v>0</v>
      </c>
      <c r="B77" s="35">
        <f>'FOUND DATA'!O80</f>
        <v>0</v>
      </c>
      <c r="C77" s="35">
        <f>'FOUND DATA'!P80</f>
        <v>5.05</v>
      </c>
      <c r="D77" s="35">
        <f>'FOUND DATA'!Q80</f>
        <v>36.36</v>
      </c>
      <c r="E77" s="35">
        <f>'FOUND DATA'!R80</f>
        <v>58.59</v>
      </c>
    </row>
    <row r="78">
      <c r="A78" s="35">
        <f>'FOUND DATA'!N81</f>
        <v>0</v>
      </c>
      <c r="B78" s="35">
        <f>'FOUND DATA'!O81</f>
        <v>0</v>
      </c>
      <c r="C78" s="35">
        <f>'FOUND DATA'!P81</f>
        <v>2.53</v>
      </c>
      <c r="D78" s="35">
        <f>'FOUND DATA'!Q81</f>
        <v>16.46</v>
      </c>
      <c r="E78" s="35">
        <f>'FOUND DATA'!R81</f>
        <v>81.01</v>
      </c>
    </row>
    <row r="79">
      <c r="A79" s="35">
        <f>'FOUND DATA'!N82</f>
        <v>0</v>
      </c>
      <c r="B79" s="35">
        <f>'FOUND DATA'!O82</f>
        <v>0</v>
      </c>
      <c r="C79" s="35">
        <f>'FOUND DATA'!P82</f>
        <v>2.38</v>
      </c>
      <c r="D79" s="35">
        <f>'FOUND DATA'!Q82</f>
        <v>57.14</v>
      </c>
      <c r="E79" s="35">
        <f>'FOUND DATA'!R82</f>
        <v>40.48</v>
      </c>
    </row>
    <row r="80">
      <c r="A80" s="35">
        <f>'FOUND DATA'!N83</f>
        <v>2.27</v>
      </c>
      <c r="B80" s="35">
        <f>'FOUND DATA'!O83</f>
        <v>2.27</v>
      </c>
      <c r="C80" s="35">
        <f>'FOUND DATA'!P83</f>
        <v>9.09</v>
      </c>
      <c r="D80" s="35">
        <f>'FOUND DATA'!Q83</f>
        <v>15.92</v>
      </c>
      <c r="E80" s="35">
        <f>'FOUND DATA'!R83</f>
        <v>70.45</v>
      </c>
    </row>
    <row r="81">
      <c r="A81" s="35">
        <f>'FOUND DATA'!N84</f>
        <v>0.78</v>
      </c>
      <c r="B81" s="35">
        <f>'FOUND DATA'!O84</f>
        <v>0</v>
      </c>
      <c r="C81" s="35">
        <f>'FOUND DATA'!P84</f>
        <v>14.06</v>
      </c>
      <c r="D81" s="35">
        <f>'FOUND DATA'!Q84</f>
        <v>40.63</v>
      </c>
      <c r="E81" s="35">
        <f>'FOUND DATA'!R84</f>
        <v>44.53</v>
      </c>
    </row>
    <row r="82">
      <c r="A82" s="35">
        <f>'FOUND DATA'!N85</f>
        <v>0</v>
      </c>
      <c r="B82" s="35">
        <f>'FOUND DATA'!O85</f>
        <v>0</v>
      </c>
      <c r="C82" s="35">
        <f>'FOUND DATA'!P85</f>
        <v>4.55</v>
      </c>
      <c r="D82" s="35">
        <f>'FOUND DATA'!Q85</f>
        <v>36.36</v>
      </c>
      <c r="E82" s="35">
        <f>'FOUND DATA'!R85</f>
        <v>59.09</v>
      </c>
    </row>
    <row r="83">
      <c r="A83" s="35">
        <f>'FOUND DATA'!N86</f>
        <v>0</v>
      </c>
      <c r="B83" s="35">
        <f>'FOUND DATA'!O86</f>
        <v>7.69</v>
      </c>
      <c r="C83" s="35">
        <f>'FOUND DATA'!P86</f>
        <v>23.08</v>
      </c>
      <c r="D83" s="35">
        <f>'FOUND DATA'!Q86</f>
        <v>38.46</v>
      </c>
      <c r="E83" s="35">
        <f>'FOUND DATA'!R86</f>
        <v>30.77</v>
      </c>
    </row>
    <row r="84">
      <c r="A84" s="35">
        <f>'FOUND DATA'!N87</f>
        <v>0</v>
      </c>
      <c r="B84" s="35">
        <f>'FOUND DATA'!O87</f>
        <v>0</v>
      </c>
      <c r="C84" s="35">
        <f>'FOUND DATA'!P87</f>
        <v>0</v>
      </c>
      <c r="D84" s="35">
        <f>'FOUND DATA'!Q87</f>
        <v>26.47</v>
      </c>
      <c r="E84" s="35">
        <f>'FOUND DATA'!R87</f>
        <v>73.53</v>
      </c>
    </row>
    <row r="85">
      <c r="A85" s="35">
        <f>'FOUND DATA'!N88</f>
        <v>0</v>
      </c>
      <c r="B85" s="35">
        <f>'FOUND DATA'!O88</f>
        <v>0</v>
      </c>
      <c r="C85" s="35">
        <f>'FOUND DATA'!P88</f>
        <v>0</v>
      </c>
      <c r="D85" s="35">
        <f>'FOUND DATA'!Q88</f>
        <v>14.29</v>
      </c>
      <c r="E85" s="35">
        <f>'FOUND DATA'!R88</f>
        <v>85.71</v>
      </c>
    </row>
    <row r="86">
      <c r="A86" s="35">
        <f>'FOUND DATA'!N89</f>
        <v>0</v>
      </c>
      <c r="B86" s="35">
        <f>'FOUND DATA'!O89</f>
        <v>0</v>
      </c>
      <c r="C86" s="35">
        <f>'FOUND DATA'!P89</f>
        <v>6.67</v>
      </c>
      <c r="D86" s="35">
        <f>'FOUND DATA'!Q89</f>
        <v>33.33</v>
      </c>
      <c r="E86" s="35">
        <f>'FOUND DATA'!R89</f>
        <v>60</v>
      </c>
    </row>
    <row r="87">
      <c r="A87" s="35">
        <f>'FOUND DATA'!N90</f>
        <v>0</v>
      </c>
      <c r="B87" s="35">
        <f>'FOUND DATA'!O90</f>
        <v>0</v>
      </c>
      <c r="C87" s="35">
        <f>'FOUND DATA'!P90</f>
        <v>7.14</v>
      </c>
      <c r="D87" s="35">
        <f>'FOUND DATA'!Q90</f>
        <v>42.86</v>
      </c>
      <c r="E87" s="35">
        <f>'FOUND DATA'!R90</f>
        <v>50</v>
      </c>
    </row>
    <row r="88">
      <c r="A88" s="35">
        <f>'FOUND DATA'!N91</f>
        <v>0</v>
      </c>
      <c r="B88" s="35">
        <f>'FOUND DATA'!O91</f>
        <v>0.6</v>
      </c>
      <c r="C88" s="35">
        <f>'FOUND DATA'!P91</f>
        <v>7.78</v>
      </c>
      <c r="D88" s="35">
        <f>'FOUND DATA'!Q91</f>
        <v>46.11</v>
      </c>
      <c r="E88" s="35">
        <f>'FOUND DATA'!R91</f>
        <v>45.51</v>
      </c>
    </row>
    <row r="89">
      <c r="A89" s="35">
        <f>'FOUND DATA'!N92</f>
        <v>1.49</v>
      </c>
      <c r="B89" s="35">
        <f>'FOUND DATA'!O92</f>
        <v>0</v>
      </c>
      <c r="C89" s="35">
        <f>'FOUND DATA'!P92</f>
        <v>1.5</v>
      </c>
      <c r="D89" s="35">
        <f>'FOUND DATA'!Q92</f>
        <v>13.43</v>
      </c>
      <c r="E89" s="35">
        <f>'FOUND DATA'!R92</f>
        <v>83.58</v>
      </c>
    </row>
    <row r="90">
      <c r="A90" s="35">
        <f>'FOUND DATA'!N93</f>
        <v>0.83</v>
      </c>
      <c r="B90" s="35">
        <f>'FOUND DATA'!O93</f>
        <v>1.65</v>
      </c>
      <c r="C90" s="35">
        <f>'FOUND DATA'!P93</f>
        <v>4.13</v>
      </c>
      <c r="D90" s="35">
        <f>'FOUND DATA'!Q93</f>
        <v>16.53</v>
      </c>
      <c r="E90" s="35">
        <f>'FOUND DATA'!R93</f>
        <v>76.86</v>
      </c>
    </row>
    <row r="91">
      <c r="A91" s="35">
        <f>'FOUND DATA'!N94</f>
        <v>3.85</v>
      </c>
      <c r="B91" s="35">
        <f>'FOUND DATA'!O94</f>
        <v>3.85</v>
      </c>
      <c r="C91" s="35">
        <f>'FOUND DATA'!P94</f>
        <v>0</v>
      </c>
      <c r="D91" s="35">
        <f>'FOUND DATA'!Q94</f>
        <v>42.3</v>
      </c>
      <c r="E91" s="35">
        <f>'FOUND DATA'!R94</f>
        <v>50</v>
      </c>
    </row>
    <row r="92">
      <c r="A92" s="35">
        <f>'FOUND DATA'!N95</f>
        <v>6.14</v>
      </c>
      <c r="B92" s="35">
        <f>'FOUND DATA'!O95</f>
        <v>2.63</v>
      </c>
      <c r="C92" s="35">
        <f>'FOUND DATA'!P95</f>
        <v>18.42</v>
      </c>
      <c r="D92" s="35">
        <f>'FOUND DATA'!Q95</f>
        <v>21.93</v>
      </c>
      <c r="E92" s="35">
        <f>'FOUND DATA'!R95</f>
        <v>50.88</v>
      </c>
    </row>
    <row r="93">
      <c r="A93" s="35">
        <f>'FOUND DATA'!N96</f>
        <v>1.68</v>
      </c>
      <c r="B93" s="35">
        <f>'FOUND DATA'!O96</f>
        <v>1.68</v>
      </c>
      <c r="C93" s="35">
        <f>'FOUND DATA'!P96</f>
        <v>33.62</v>
      </c>
      <c r="D93" s="35">
        <f>'FOUND DATA'!Q96</f>
        <v>31.93</v>
      </c>
      <c r="E93" s="35">
        <f>'FOUND DATA'!R96</f>
        <v>31.09</v>
      </c>
    </row>
    <row r="94">
      <c r="A94" s="35">
        <f>'FOUND DATA'!N97</f>
        <v>0</v>
      </c>
      <c r="B94" s="35">
        <f>'FOUND DATA'!O97</f>
        <v>0</v>
      </c>
      <c r="C94" s="35">
        <f>'FOUND DATA'!P97</f>
        <v>9.37</v>
      </c>
      <c r="D94" s="35">
        <f>'FOUND DATA'!Q97</f>
        <v>28.13</v>
      </c>
      <c r="E94" s="35">
        <f>'FOUND DATA'!R97</f>
        <v>62.5</v>
      </c>
    </row>
    <row r="95">
      <c r="A95" s="35">
        <f>'FOUND DATA'!N98</f>
        <v>0</v>
      </c>
      <c r="B95" s="35">
        <f>'FOUND DATA'!O98</f>
        <v>1.03</v>
      </c>
      <c r="C95" s="35">
        <f>'FOUND DATA'!P98</f>
        <v>40.21</v>
      </c>
      <c r="D95" s="35">
        <f>'FOUND DATA'!Q98</f>
        <v>23.71</v>
      </c>
      <c r="E95" s="35">
        <f>'FOUND DATA'!R98</f>
        <v>35.05</v>
      </c>
    </row>
    <row r="96">
      <c r="A96" s="35">
        <f>'FOUND DATA'!N99</f>
        <v>0.86</v>
      </c>
      <c r="B96" s="35">
        <f>'FOUND DATA'!O99</f>
        <v>0</v>
      </c>
      <c r="C96" s="35">
        <f>'FOUND DATA'!P99</f>
        <v>4.31</v>
      </c>
      <c r="D96" s="35">
        <f>'FOUND DATA'!Q99</f>
        <v>43.97</v>
      </c>
      <c r="E96" s="35">
        <f>'FOUND DATA'!R99</f>
        <v>50.86</v>
      </c>
    </row>
    <row r="97">
      <c r="A97" s="35">
        <f>'FOUND DATA'!N100</f>
        <v>0</v>
      </c>
      <c r="B97" s="35">
        <f>'FOUND DATA'!O100</f>
        <v>1.85</v>
      </c>
      <c r="C97" s="35">
        <f>'FOUND DATA'!P100</f>
        <v>3.7</v>
      </c>
      <c r="D97" s="35">
        <f>'FOUND DATA'!Q100</f>
        <v>24.07</v>
      </c>
      <c r="E97" s="35">
        <f>'FOUND DATA'!R100</f>
        <v>70.38</v>
      </c>
    </row>
    <row r="98">
      <c r="A98" s="35">
        <f>'FOUND DATA'!N101</f>
        <v>1.43</v>
      </c>
      <c r="B98" s="35">
        <f>'FOUND DATA'!O101</f>
        <v>2.86</v>
      </c>
      <c r="C98" s="35">
        <f>'FOUND DATA'!P101</f>
        <v>40</v>
      </c>
      <c r="D98" s="35">
        <f>'FOUND DATA'!Q101</f>
        <v>28.57</v>
      </c>
      <c r="E98" s="35">
        <f>'FOUND DATA'!R101</f>
        <v>27.14</v>
      </c>
    </row>
    <row r="99">
      <c r="A99" s="35">
        <f>'FOUND DATA'!N102</f>
        <v>0</v>
      </c>
      <c r="B99" s="35">
        <f>'FOUND DATA'!O102</f>
        <v>2.63</v>
      </c>
      <c r="C99" s="35">
        <f>'FOUND DATA'!P102</f>
        <v>25</v>
      </c>
      <c r="D99" s="35">
        <f>'FOUND DATA'!Q102</f>
        <v>35.53</v>
      </c>
      <c r="E99" s="35">
        <f>'FOUND DATA'!R102</f>
        <v>36.84</v>
      </c>
    </row>
    <row r="100">
      <c r="A100" s="35">
        <f>'FOUND DATA'!N103</f>
        <v>4.11</v>
      </c>
      <c r="B100" s="35">
        <f>'FOUND DATA'!O103</f>
        <v>4.11</v>
      </c>
      <c r="C100" s="35">
        <f>'FOUND DATA'!P103</f>
        <v>24.65</v>
      </c>
      <c r="D100" s="35">
        <f>'FOUND DATA'!Q103</f>
        <v>30.14</v>
      </c>
      <c r="E100" s="35">
        <f>'FOUND DATA'!R103</f>
        <v>36.99</v>
      </c>
    </row>
    <row r="101">
      <c r="A101" s="35">
        <f>'FOUND DATA'!N104</f>
        <v>0.8</v>
      </c>
      <c r="B101" s="35">
        <f>'FOUND DATA'!O104</f>
        <v>3.4</v>
      </c>
      <c r="C101" s="35">
        <f>'FOUND DATA'!P104</f>
        <v>6.6</v>
      </c>
      <c r="D101" s="35">
        <f>'FOUND DATA'!Q104</f>
        <v>32.2</v>
      </c>
      <c r="E101" s="35">
        <f>'FOUND DATA'!R104</f>
        <v>57</v>
      </c>
    </row>
    <row r="102">
      <c r="A102" s="35">
        <f>'FOUND DATA'!N105</f>
        <v>2.28</v>
      </c>
      <c r="B102" s="35">
        <f>'FOUND DATA'!O105</f>
        <v>13.58</v>
      </c>
      <c r="C102" s="35">
        <f>'FOUND DATA'!P105</f>
        <v>13.58</v>
      </c>
      <c r="D102" s="35">
        <f>'FOUND DATA'!Q105</f>
        <v>29.58</v>
      </c>
      <c r="E102" s="35">
        <f>'FOUND DATA'!R105</f>
        <v>40.98</v>
      </c>
    </row>
    <row r="103">
      <c r="A103" s="35">
        <f>'FOUND DATA'!N106</f>
        <v>0.4</v>
      </c>
      <c r="B103" s="35">
        <f>'FOUND DATA'!O106</f>
        <v>10.4</v>
      </c>
      <c r="C103" s="35">
        <f>'FOUND DATA'!P106</f>
        <v>14.4</v>
      </c>
      <c r="D103" s="35">
        <f>'FOUND DATA'!Q106</f>
        <v>44.4</v>
      </c>
      <c r="E103" s="35">
        <f>'FOUND DATA'!R106</f>
        <v>30.4</v>
      </c>
    </row>
    <row r="104">
      <c r="A104" s="35">
        <f>'FOUND DATA'!N107</f>
        <v>0.02</v>
      </c>
      <c r="B104" s="35">
        <f>'FOUND DATA'!O107</f>
        <v>6.92</v>
      </c>
      <c r="C104" s="35">
        <f>'FOUND DATA'!P107</f>
        <v>13.82</v>
      </c>
      <c r="D104" s="35">
        <f>'FOUND DATA'!Q107</f>
        <v>37.92</v>
      </c>
      <c r="E104" s="35">
        <f>'FOUND DATA'!R107</f>
        <v>41.32</v>
      </c>
    </row>
    <row r="105">
      <c r="A105" s="35" t="str">
        <f>'FOUND DATA'!N108</f>
        <v>END</v>
      </c>
      <c r="B105" s="35" t="str">
        <f>'FOUND DATA'!O108</f>
        <v>END</v>
      </c>
      <c r="C105" s="35" t="str">
        <f>'FOUND DATA'!P108</f>
        <v>END</v>
      </c>
      <c r="D105" s="35" t="str">
        <f>'FOUND DATA'!Q108</f>
        <v>END</v>
      </c>
      <c r="E105" s="35" t="str">
        <f>'FOUND DATA'!R108</f>
        <v>END</v>
      </c>
    </row>
    <row r="122">
      <c r="A122" s="35" t="str">
        <f>'FOUND DATA'!N124</f>
        <v/>
      </c>
      <c r="B122" s="35" t="str">
        <f>'FOUND DATA'!O124</f>
        <v/>
      </c>
      <c r="C122" s="35" t="str">
        <f>'FOUND DATA'!P124</f>
        <v/>
      </c>
      <c r="D122" s="35" t="str">
        <f>'FOUND DATA'!Q124</f>
        <v/>
      </c>
      <c r="E122" s="35" t="str">
        <f>'FOUND DATA'!R124</f>
        <v/>
      </c>
    </row>
    <row r="123">
      <c r="A123" s="35" t="str">
        <f>'FOUND DATA'!N125</f>
        <v/>
      </c>
      <c r="B123" s="35" t="str">
        <f>'FOUND DATA'!O125</f>
        <v/>
      </c>
      <c r="C123" s="35" t="str">
        <f>'FOUND DATA'!P125</f>
        <v/>
      </c>
      <c r="D123" s="35" t="str">
        <f>'FOUND DATA'!Q125</f>
        <v/>
      </c>
      <c r="E123" s="35" t="str">
        <f>'FOUND DATA'!R125</f>
        <v/>
      </c>
    </row>
    <row r="124">
      <c r="A124" s="35" t="str">
        <f>'FOUND DATA'!N126</f>
        <v/>
      </c>
      <c r="B124" s="35" t="str">
        <f>'FOUND DATA'!O126</f>
        <v/>
      </c>
      <c r="C124" s="35" t="str">
        <f>'FOUND DATA'!P126</f>
        <v/>
      </c>
      <c r="D124" s="35" t="str">
        <f>'FOUND DATA'!Q126</f>
        <v/>
      </c>
      <c r="E124" s="35" t="str">
        <f>'FOUND DATA'!R126</f>
        <v/>
      </c>
    </row>
    <row r="125">
      <c r="A125" s="35" t="str">
        <f>'FOUND DATA'!N127</f>
        <v/>
      </c>
      <c r="B125" s="35" t="str">
        <f>'FOUND DATA'!O127</f>
        <v/>
      </c>
      <c r="C125" s="35" t="str">
        <f>'FOUND DATA'!P127</f>
        <v/>
      </c>
      <c r="D125" s="35" t="str">
        <f>'FOUND DATA'!Q127</f>
        <v/>
      </c>
      <c r="E125" s="35" t="str">
        <f>'FOUND DATA'!R127</f>
        <v/>
      </c>
    </row>
    <row r="126">
      <c r="A126" s="35" t="str">
        <f>'FOUND DATA'!N128</f>
        <v/>
      </c>
      <c r="B126" s="35" t="str">
        <f>'FOUND DATA'!O128</f>
        <v/>
      </c>
      <c r="C126" s="35" t="str">
        <f>'FOUND DATA'!P128</f>
        <v/>
      </c>
      <c r="D126" s="35" t="str">
        <f>'FOUND DATA'!Q128</f>
        <v/>
      </c>
      <c r="E126" s="35" t="str">
        <f>'FOUND DATA'!R128</f>
        <v/>
      </c>
    </row>
    <row r="127">
      <c r="A127" s="35" t="str">
        <f>'FOUND DATA'!N129</f>
        <v/>
      </c>
      <c r="B127" s="35" t="str">
        <f>'FOUND DATA'!O129</f>
        <v/>
      </c>
      <c r="C127" s="35" t="str">
        <f>'FOUND DATA'!P129</f>
        <v/>
      </c>
      <c r="D127" s="35" t="str">
        <f>'FOUND DATA'!Q129</f>
        <v/>
      </c>
      <c r="E127" s="35" t="str">
        <f>'FOUND DATA'!R129</f>
        <v/>
      </c>
    </row>
    <row r="128">
      <c r="A128" s="35" t="str">
        <f>'FOUND DATA'!N130</f>
        <v/>
      </c>
      <c r="B128" s="35" t="str">
        <f>'FOUND DATA'!O130</f>
        <v/>
      </c>
      <c r="C128" s="35" t="str">
        <f>'FOUND DATA'!P130</f>
        <v/>
      </c>
      <c r="D128" s="35" t="str">
        <f>'FOUND DATA'!Q130</f>
        <v/>
      </c>
      <c r="E128" s="35" t="str">
        <f>'FOUND DATA'!R130</f>
        <v/>
      </c>
    </row>
    <row r="129">
      <c r="A129" s="35" t="str">
        <f>'FOUND DATA'!N131</f>
        <v/>
      </c>
      <c r="B129" s="35" t="str">
        <f>'FOUND DATA'!O131</f>
        <v/>
      </c>
      <c r="C129" s="35" t="str">
        <f>'FOUND DATA'!P131</f>
        <v/>
      </c>
      <c r="D129" s="35" t="str">
        <f>'FOUND DATA'!Q131</f>
        <v/>
      </c>
      <c r="E129" s="35" t="str">
        <f>'FOUND DATA'!R131</f>
        <v/>
      </c>
    </row>
    <row r="130">
      <c r="A130" s="35" t="str">
        <f>'FOUND DATA'!N132</f>
        <v/>
      </c>
      <c r="B130" s="35" t="str">
        <f>'FOUND DATA'!O132</f>
        <v/>
      </c>
      <c r="C130" s="35" t="str">
        <f>'FOUND DATA'!P132</f>
        <v/>
      </c>
      <c r="D130" s="35" t="str">
        <f>'FOUND DATA'!Q132</f>
        <v/>
      </c>
      <c r="E130" s="35" t="str">
        <f>'FOUND DATA'!R132</f>
        <v/>
      </c>
    </row>
    <row r="143">
      <c r="A143" s="35" t="str">
        <f>'FOUND DATA'!N121</f>
        <v/>
      </c>
      <c r="B143" s="35" t="str">
        <f>'FOUND DATA'!O121</f>
        <v/>
      </c>
      <c r="C143" s="35" t="str">
        <f>'FOUND DATA'!P121</f>
        <v/>
      </c>
      <c r="D143" s="35" t="str">
        <f>'FOUND DATA'!Q121</f>
        <v/>
      </c>
      <c r="E143" s="35" t="str">
        <f>'FOUND DATA'!R121</f>
        <v/>
      </c>
    </row>
    <row r="144">
      <c r="A144" s="35" t="str">
        <f>'FOUND DATA'!N122</f>
        <v/>
      </c>
      <c r="B144" s="35" t="str">
        <f>'FOUND DATA'!O122</f>
        <v/>
      </c>
      <c r="C144" s="35" t="str">
        <f>'FOUND DATA'!P122</f>
        <v/>
      </c>
      <c r="D144" s="35" t="str">
        <f>'FOUND DATA'!Q122</f>
        <v/>
      </c>
      <c r="E144" s="35" t="str">
        <f>'FOUND DATA'!R122</f>
        <v/>
      </c>
    </row>
    <row r="145">
      <c r="A145" s="35" t="str">
        <f>'FOUND DATA'!N123</f>
        <v/>
      </c>
      <c r="B145" s="35" t="str">
        <f>'FOUND DATA'!O123</f>
        <v/>
      </c>
      <c r="C145" s="35" t="str">
        <f>'FOUND DATA'!P123</f>
        <v/>
      </c>
      <c r="D145" s="35" t="str">
        <f>'FOUND DATA'!Q123</f>
        <v/>
      </c>
      <c r="E145" s="35" t="str">
        <f>'FOUND DATA'!R123</f>
        <v/>
      </c>
    </row>
    <row r="146">
      <c r="A146" s="35" t="str">
        <f>'FOUND DATA'!N124</f>
        <v/>
      </c>
      <c r="B146" s="35" t="str">
        <f>'FOUND DATA'!O124</f>
        <v/>
      </c>
      <c r="C146" s="35" t="str">
        <f>'FOUND DATA'!P124</f>
        <v/>
      </c>
      <c r="D146" s="35" t="str">
        <f>'FOUND DATA'!Q124</f>
        <v/>
      </c>
      <c r="E146" s="35" t="str">
        <f>'FOUND DATA'!R124</f>
        <v/>
      </c>
    </row>
    <row r="147">
      <c r="A147" s="35" t="str">
        <f>'FOUND DATA'!N125</f>
        <v/>
      </c>
      <c r="B147" s="35" t="str">
        <f>'FOUND DATA'!O125</f>
        <v/>
      </c>
      <c r="C147" s="35" t="str">
        <f>'FOUND DATA'!P125</f>
        <v/>
      </c>
      <c r="D147" s="35" t="str">
        <f>'FOUND DATA'!Q125</f>
        <v/>
      </c>
      <c r="E147" s="35" t="str">
        <f>'FOUND DATA'!R125</f>
        <v/>
      </c>
    </row>
    <row r="148">
      <c r="A148" s="35" t="str">
        <f>'FOUND DATA'!N126</f>
        <v/>
      </c>
      <c r="B148" s="35" t="str">
        <f>'FOUND DATA'!O126</f>
        <v/>
      </c>
      <c r="C148" s="35" t="str">
        <f>'FOUND DATA'!P126</f>
        <v/>
      </c>
      <c r="D148" s="35" t="str">
        <f>'FOUND DATA'!Q126</f>
        <v/>
      </c>
      <c r="E148" s="35" t="str">
        <f>'FOUND DATA'!R126</f>
        <v/>
      </c>
    </row>
    <row r="149">
      <c r="A149" s="35" t="str">
        <f>'FOUND DATA'!N127</f>
        <v/>
      </c>
      <c r="B149" s="35" t="str">
        <f>'FOUND DATA'!O127</f>
        <v/>
      </c>
      <c r="C149" s="35" t="str">
        <f>'FOUND DATA'!P127</f>
        <v/>
      </c>
      <c r="D149" s="35" t="str">
        <f>'FOUND DATA'!Q127</f>
        <v/>
      </c>
      <c r="E149" s="35" t="str">
        <f>'FOUND DATA'!R127</f>
        <v/>
      </c>
    </row>
    <row r="150">
      <c r="A150" s="35" t="str">
        <f>'FOUND DATA'!N128</f>
        <v/>
      </c>
      <c r="B150" s="35" t="str">
        <f>'FOUND DATA'!O128</f>
        <v/>
      </c>
      <c r="C150" s="35" t="str">
        <f>'FOUND DATA'!P128</f>
        <v/>
      </c>
      <c r="D150" s="35" t="str">
        <f>'FOUND DATA'!Q128</f>
        <v/>
      </c>
      <c r="E150" s="35" t="str">
        <f>'FOUND DATA'!R128</f>
        <v/>
      </c>
    </row>
    <row r="151">
      <c r="A151" s="35" t="str">
        <f>'FOUND DATA'!N129</f>
        <v/>
      </c>
      <c r="B151" s="35" t="str">
        <f>'FOUND DATA'!O129</f>
        <v/>
      </c>
      <c r="C151" s="35" t="str">
        <f>'FOUND DATA'!P129</f>
        <v/>
      </c>
      <c r="D151" s="35" t="str">
        <f>'FOUND DATA'!Q129</f>
        <v/>
      </c>
      <c r="E151" s="35" t="str">
        <f>'FOUND DATA'!R129</f>
        <v/>
      </c>
    </row>
    <row r="152">
      <c r="A152" s="35" t="str">
        <f>'FOUND DATA'!N130</f>
        <v/>
      </c>
      <c r="B152" s="35" t="str">
        <f>'FOUND DATA'!O130</f>
        <v/>
      </c>
      <c r="C152" s="35" t="str">
        <f>'FOUND DATA'!P130</f>
        <v/>
      </c>
      <c r="D152" s="35" t="str">
        <f>'FOUND DATA'!Q130</f>
        <v/>
      </c>
      <c r="E152" s="35" t="str">
        <f>'FOUND DATA'!R130</f>
        <v/>
      </c>
    </row>
    <row r="153">
      <c r="A153" s="35" t="str">
        <f>'FOUND DATA'!N131</f>
        <v/>
      </c>
      <c r="B153" s="35" t="str">
        <f>'FOUND DATA'!O131</f>
        <v/>
      </c>
      <c r="C153" s="35" t="str">
        <f>'FOUND DATA'!P131</f>
        <v/>
      </c>
      <c r="D153" s="35" t="str">
        <f>'FOUND DATA'!Q131</f>
        <v/>
      </c>
      <c r="E153" s="35" t="str">
        <f>'FOUND DATA'!R131</f>
        <v/>
      </c>
    </row>
    <row r="154">
      <c r="A154" s="35" t="str">
        <f>'FOUND DATA'!N132</f>
        <v/>
      </c>
      <c r="B154" s="35" t="str">
        <f>'FOUND DATA'!O132</f>
        <v/>
      </c>
      <c r="C154" s="35" t="str">
        <f>'FOUND DATA'!P132</f>
        <v/>
      </c>
      <c r="D154" s="35" t="str">
        <f>'FOUND DATA'!Q132</f>
        <v/>
      </c>
      <c r="E154" s="35" t="str">
        <f>'FOUND DATA'!R132</f>
        <v/>
      </c>
    </row>
    <row r="155">
      <c r="A155" s="35" t="str">
        <f>'FOUND DATA'!N133</f>
        <v/>
      </c>
      <c r="B155" s="35" t="str">
        <f>'FOUND DATA'!O133</f>
        <v/>
      </c>
      <c r="C155" s="35" t="str">
        <f>'FOUND DATA'!P133</f>
        <v/>
      </c>
      <c r="D155" s="35" t="str">
        <f>'FOUND DATA'!Q133</f>
        <v/>
      </c>
      <c r="E155" s="35" t="str">
        <f>'FOUND DATA'!R133</f>
        <v/>
      </c>
    </row>
    <row r="156">
      <c r="A156" s="35" t="str">
        <f>'FOUND DATA'!N134</f>
        <v/>
      </c>
      <c r="B156" s="35" t="str">
        <f>'FOUND DATA'!O134</f>
        <v/>
      </c>
      <c r="C156" s="35" t="str">
        <f>'FOUND DATA'!P134</f>
        <v/>
      </c>
      <c r="D156" s="35" t="str">
        <f>'FOUND DATA'!Q134</f>
        <v/>
      </c>
      <c r="E156" s="35" t="str">
        <f>'FOUND DATA'!R134</f>
        <v/>
      </c>
    </row>
    <row r="157">
      <c r="A157" s="35" t="str">
        <f>'FOUND DATA'!N135</f>
        <v/>
      </c>
      <c r="B157" s="35" t="str">
        <f>'FOUND DATA'!O135</f>
        <v/>
      </c>
      <c r="C157" s="35" t="str">
        <f>'FOUND DATA'!P135</f>
        <v/>
      </c>
      <c r="D157" s="35" t="str">
        <f>'FOUND DATA'!Q135</f>
        <v/>
      </c>
      <c r="E157" s="35" t="str">
        <f>'FOUND DATA'!R135</f>
        <v/>
      </c>
    </row>
    <row r="158">
      <c r="A158" s="35" t="str">
        <f>'FOUND DATA'!N136</f>
        <v/>
      </c>
      <c r="B158" s="35" t="str">
        <f>'FOUND DATA'!O136</f>
        <v/>
      </c>
      <c r="C158" s="35" t="str">
        <f>'FOUND DATA'!P136</f>
        <v/>
      </c>
      <c r="D158" s="35" t="str">
        <f>'FOUND DATA'!Q136</f>
        <v/>
      </c>
      <c r="E158" s="35" t="str">
        <f>'FOUND DATA'!R136</f>
        <v/>
      </c>
    </row>
    <row r="159">
      <c r="A159" s="35" t="str">
        <f>'FOUND DATA'!N137</f>
        <v/>
      </c>
      <c r="B159" s="35" t="str">
        <f>'FOUND DATA'!O137</f>
        <v/>
      </c>
      <c r="C159" s="35" t="str">
        <f>'FOUND DATA'!P137</f>
        <v/>
      </c>
      <c r="D159" s="35" t="str">
        <f>'FOUND DATA'!Q137</f>
        <v/>
      </c>
      <c r="E159" s="35" t="str">
        <f>'FOUND DATA'!R137</f>
        <v/>
      </c>
    </row>
    <row r="160">
      <c r="A160" s="35" t="str">
        <f>'FOUND DATA'!N138</f>
        <v/>
      </c>
      <c r="B160" s="35" t="str">
        <f>'FOUND DATA'!O138</f>
        <v/>
      </c>
      <c r="C160" s="35" t="str">
        <f>'FOUND DATA'!P138</f>
        <v/>
      </c>
      <c r="D160" s="35" t="str">
        <f>'FOUND DATA'!Q138</f>
        <v/>
      </c>
      <c r="E160" s="35" t="str">
        <f>'FOUND DATA'!R138</f>
        <v/>
      </c>
    </row>
    <row r="161">
      <c r="A161" s="35" t="str">
        <f>'FOUND DATA'!N139</f>
        <v/>
      </c>
      <c r="B161" s="35" t="str">
        <f>'FOUND DATA'!O139</f>
        <v/>
      </c>
      <c r="C161" s="35" t="str">
        <f>'FOUND DATA'!P139</f>
        <v/>
      </c>
      <c r="D161" s="35" t="str">
        <f>'FOUND DATA'!Q139</f>
        <v/>
      </c>
      <c r="E161" s="35" t="str">
        <f>'FOUND DATA'!R139</f>
        <v/>
      </c>
    </row>
    <row r="162">
      <c r="A162" s="35" t="str">
        <f>'FOUND DATA'!N140</f>
        <v/>
      </c>
      <c r="B162" s="35" t="str">
        <f>'FOUND DATA'!O140</f>
        <v/>
      </c>
      <c r="C162" s="35" t="str">
        <f>'FOUND DATA'!P140</f>
        <v/>
      </c>
      <c r="D162" s="35" t="str">
        <f>'FOUND DATA'!Q140</f>
        <v/>
      </c>
      <c r="E162" s="35" t="str">
        <f>'FOUND DATA'!R140</f>
        <v/>
      </c>
    </row>
    <row r="163">
      <c r="A163" s="35" t="str">
        <f>'FOUND DATA'!N141</f>
        <v/>
      </c>
      <c r="B163" s="35" t="str">
        <f>'FOUND DATA'!O141</f>
        <v/>
      </c>
      <c r="C163" s="35" t="str">
        <f>'FOUND DATA'!P141</f>
        <v/>
      </c>
      <c r="D163" s="35" t="str">
        <f>'FOUND DATA'!Q141</f>
        <v/>
      </c>
      <c r="E163" s="35" t="str">
        <f>'FOUND DATA'!R141</f>
        <v/>
      </c>
    </row>
    <row r="164">
      <c r="A164" s="35" t="str">
        <f>'FOUND DATA'!N142</f>
        <v/>
      </c>
      <c r="B164" s="35" t="str">
        <f>'FOUND DATA'!O142</f>
        <v/>
      </c>
      <c r="C164" s="35" t="str">
        <f>'FOUND DATA'!P142</f>
        <v/>
      </c>
      <c r="D164" s="35" t="str">
        <f>'FOUND DATA'!Q142</f>
        <v/>
      </c>
      <c r="E164" s="35" t="str">
        <f>'FOUND DATA'!R142</f>
        <v/>
      </c>
    </row>
    <row r="165">
      <c r="A165" s="35" t="str">
        <f>'FOUND DATA'!N143</f>
        <v/>
      </c>
      <c r="B165" s="35" t="str">
        <f>'FOUND DATA'!O143</f>
        <v/>
      </c>
      <c r="C165" s="35" t="str">
        <f>'FOUND DATA'!P143</f>
        <v/>
      </c>
      <c r="D165" s="35" t="str">
        <f>'FOUND DATA'!Q143</f>
        <v/>
      </c>
      <c r="E165" s="35" t="str">
        <f>'FOUND DATA'!R143</f>
        <v/>
      </c>
    </row>
    <row r="166">
      <c r="A166" s="35" t="str">
        <f>'FOUND DATA'!N144</f>
        <v/>
      </c>
      <c r="B166" s="35" t="str">
        <f>'FOUND DATA'!O144</f>
        <v/>
      </c>
      <c r="C166" s="35" t="str">
        <f>'FOUND DATA'!P144</f>
        <v/>
      </c>
      <c r="D166" s="35" t="str">
        <f>'FOUND DATA'!Q144</f>
        <v/>
      </c>
      <c r="E166" s="35" t="str">
        <f>'FOUND DATA'!R144</f>
        <v/>
      </c>
    </row>
    <row r="167">
      <c r="A167" s="35" t="str">
        <f>'FOUND DATA'!N145</f>
        <v/>
      </c>
      <c r="B167" s="35" t="str">
        <f>'FOUND DATA'!O145</f>
        <v/>
      </c>
      <c r="C167" s="35" t="str">
        <f>'FOUND DATA'!P145</f>
        <v/>
      </c>
      <c r="D167" s="35" t="str">
        <f>'FOUND DATA'!Q145</f>
        <v/>
      </c>
      <c r="E167" s="35" t="str">
        <f>'FOUND DATA'!R145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DATA'!T4</f>
        <v>% FAIL</v>
      </c>
      <c r="B1" s="36" t="str">
        <f>'FOUND DATA'!U4</f>
        <v>% PASS</v>
      </c>
    </row>
    <row r="2">
      <c r="A2" s="35">
        <f>'FOUND DATA'!T5</f>
        <v>2.06</v>
      </c>
      <c r="B2" s="35">
        <f>'FOUND DATA'!U5</f>
        <v>97.94</v>
      </c>
    </row>
    <row r="3">
      <c r="A3" s="35">
        <f>'FOUND DATA'!T6</f>
        <v>6.02</v>
      </c>
      <c r="B3" s="35">
        <f>'FOUND DATA'!U6</f>
        <v>93.98</v>
      </c>
    </row>
    <row r="4">
      <c r="A4" s="35">
        <f>'FOUND DATA'!T7</f>
        <v>5.97</v>
      </c>
      <c r="B4" s="35">
        <f>'FOUND DATA'!U7</f>
        <v>94.03</v>
      </c>
    </row>
    <row r="5">
      <c r="A5" s="35">
        <f>'FOUND DATA'!T8</f>
        <v>9.52</v>
      </c>
      <c r="B5" s="35">
        <f>'FOUND DATA'!U8</f>
        <v>90.48</v>
      </c>
    </row>
    <row r="6">
      <c r="A6" s="35">
        <f>'FOUND DATA'!T9</f>
        <v>5.48</v>
      </c>
      <c r="B6" s="35">
        <f>'FOUND DATA'!U9</f>
        <v>94.52</v>
      </c>
    </row>
    <row r="7">
      <c r="A7" s="35">
        <f>'FOUND DATA'!T10</f>
        <v>9.15</v>
      </c>
      <c r="B7" s="35">
        <f>'FOUND DATA'!U10</f>
        <v>90.85</v>
      </c>
    </row>
    <row r="8">
      <c r="A8" s="35">
        <f>'FOUND DATA'!T11</f>
        <v>11.91</v>
      </c>
      <c r="B8" s="35">
        <f>'FOUND DATA'!U11</f>
        <v>88.09</v>
      </c>
    </row>
    <row r="9">
      <c r="A9" s="35">
        <f>'FOUND DATA'!T12</f>
        <v>13.75</v>
      </c>
      <c r="B9" s="35">
        <f>'FOUND DATA'!U12</f>
        <v>86.25</v>
      </c>
    </row>
    <row r="10">
      <c r="A10" s="35">
        <f>'FOUND DATA'!T13</f>
        <v>14.2</v>
      </c>
      <c r="B10" s="35">
        <f>'FOUND DATA'!U13</f>
        <v>85.8</v>
      </c>
    </row>
    <row r="11">
      <c r="A11" s="35">
        <f>'FOUND DATA'!T14</f>
        <v>8.75</v>
      </c>
      <c r="B11" s="35">
        <f>'FOUND DATA'!U14</f>
        <v>91.25</v>
      </c>
    </row>
    <row r="12">
      <c r="A12" s="35">
        <f>'FOUND DATA'!T15</f>
        <v>2.33</v>
      </c>
      <c r="B12" s="35">
        <f>'FOUND DATA'!U15</f>
        <v>97.67</v>
      </c>
    </row>
    <row r="13">
      <c r="A13" s="35">
        <f>'FOUND DATA'!T16</f>
        <v>6.93</v>
      </c>
      <c r="B13" s="35">
        <f>'FOUND DATA'!U16</f>
        <v>93.07</v>
      </c>
    </row>
    <row r="14">
      <c r="A14" s="35">
        <f>'FOUND DATA'!T17</f>
        <v>2.42</v>
      </c>
      <c r="B14" s="35">
        <f>'FOUND DATA'!U17</f>
        <v>97.58</v>
      </c>
    </row>
    <row r="15">
      <c r="A15" s="35">
        <f>'FOUND DATA'!T18</f>
        <v>12.07</v>
      </c>
      <c r="B15" s="35">
        <f>'FOUND DATA'!U18</f>
        <v>87.93</v>
      </c>
    </row>
    <row r="16">
      <c r="A16" s="35">
        <f>'FOUND DATA'!T19</f>
        <v>7.15</v>
      </c>
      <c r="B16" s="35">
        <f>'FOUND DATA'!U19</f>
        <v>92.85</v>
      </c>
    </row>
    <row r="17">
      <c r="A17" s="35">
        <f>'FOUND DATA'!T20</f>
        <v>10.35</v>
      </c>
      <c r="B17" s="35">
        <f>'FOUND DATA'!U20</f>
        <v>89.65</v>
      </c>
    </row>
    <row r="18">
      <c r="A18" s="35">
        <f>'FOUND DATA'!T21</f>
        <v>3.44</v>
      </c>
      <c r="B18" s="35">
        <f>'FOUND DATA'!U21</f>
        <v>96.56</v>
      </c>
    </row>
    <row r="19">
      <c r="A19" s="35">
        <f>'FOUND DATA'!T22</f>
        <v>0</v>
      </c>
      <c r="B19" s="35">
        <f>'FOUND DATA'!U22</f>
        <v>100</v>
      </c>
    </row>
    <row r="20">
      <c r="A20" s="35">
        <f>'FOUND DATA'!T23</f>
        <v>0</v>
      </c>
      <c r="B20" s="35">
        <f>'FOUND DATA'!U23</f>
        <v>100</v>
      </c>
    </row>
    <row r="21">
      <c r="A21" s="35">
        <f>'FOUND DATA'!T24</f>
        <v>0</v>
      </c>
      <c r="B21" s="35">
        <f>'FOUND DATA'!U24</f>
        <v>100</v>
      </c>
    </row>
    <row r="22">
      <c r="A22" s="35">
        <f>'FOUND DATA'!T25</f>
        <v>1.42</v>
      </c>
      <c r="B22" s="35">
        <f>'FOUND DATA'!U25</f>
        <v>98.58</v>
      </c>
    </row>
    <row r="23">
      <c r="A23" s="35">
        <f>'FOUND DATA'!T26</f>
        <v>0</v>
      </c>
      <c r="B23" s="35">
        <f>'FOUND DATA'!U26</f>
        <v>100</v>
      </c>
    </row>
    <row r="24">
      <c r="A24" s="35">
        <f>'FOUND DATA'!T27</f>
        <v>0</v>
      </c>
      <c r="B24" s="35">
        <f>'FOUND DATA'!U27</f>
        <v>100</v>
      </c>
    </row>
    <row r="25">
      <c r="A25" s="35">
        <f>'FOUND DATA'!T28</f>
        <v>0</v>
      </c>
      <c r="B25" s="35">
        <f>'FOUND DATA'!U28</f>
        <v>100</v>
      </c>
    </row>
    <row r="26">
      <c r="A26" s="35">
        <f>'FOUND DATA'!T29</f>
        <v>1.31</v>
      </c>
      <c r="B26" s="35">
        <f>'FOUND DATA'!U29</f>
        <v>98.69</v>
      </c>
    </row>
    <row r="27">
      <c r="A27" s="35">
        <f>'FOUND DATA'!T30</f>
        <v>0.71</v>
      </c>
      <c r="B27" s="35">
        <f>'FOUND DATA'!U30</f>
        <v>99.29</v>
      </c>
    </row>
    <row r="28">
      <c r="A28" s="35">
        <f>'FOUND DATA'!T31</f>
        <v>8.22</v>
      </c>
      <c r="B28" s="35">
        <f>'FOUND DATA'!U31</f>
        <v>91.78</v>
      </c>
    </row>
    <row r="29">
      <c r="A29" s="35">
        <f>'FOUND DATA'!T32</f>
        <v>12.5</v>
      </c>
      <c r="B29" s="35">
        <f>'FOUND DATA'!U32</f>
        <v>87.5</v>
      </c>
    </row>
    <row r="30">
      <c r="A30" s="35">
        <f>'FOUND DATA'!T33</f>
        <v>12.5</v>
      </c>
      <c r="B30" s="35">
        <f>'FOUND DATA'!U33</f>
        <v>87.5</v>
      </c>
    </row>
    <row r="31">
      <c r="A31" s="35">
        <f>'FOUND DATA'!T34</f>
        <v>3.92</v>
      </c>
      <c r="B31" s="35">
        <f>'FOUND DATA'!U34</f>
        <v>96.08</v>
      </c>
    </row>
    <row r="32">
      <c r="A32" s="35">
        <f>'FOUND DATA'!T35</f>
        <v>11.37</v>
      </c>
      <c r="B32" s="35">
        <f>'FOUND DATA'!U35</f>
        <v>88.63</v>
      </c>
    </row>
    <row r="33">
      <c r="A33" s="35">
        <f>'FOUND DATA'!T36</f>
        <v>7.14</v>
      </c>
      <c r="B33" s="35">
        <f>'FOUND DATA'!U36</f>
        <v>92.86</v>
      </c>
    </row>
    <row r="34">
      <c r="A34" s="35">
        <f>'FOUND DATA'!T37</f>
        <v>4.166666667</v>
      </c>
      <c r="B34" s="35">
        <f>'FOUND DATA'!U37</f>
        <v>95.83333333</v>
      </c>
    </row>
    <row r="35">
      <c r="A35" s="35">
        <f>'FOUND DATA'!T38</f>
        <v>1.612903226</v>
      </c>
      <c r="B35" s="35">
        <f>'FOUND DATA'!U38</f>
        <v>98.38709677</v>
      </c>
    </row>
    <row r="36">
      <c r="A36" s="35">
        <f>'FOUND DATA'!T39</f>
        <v>5.66</v>
      </c>
      <c r="B36" s="35">
        <f>'FOUND DATA'!U39</f>
        <v>94.34</v>
      </c>
    </row>
    <row r="37">
      <c r="A37" s="35">
        <f>'FOUND DATA'!T40</f>
        <v>10.74</v>
      </c>
      <c r="B37" s="35">
        <f>'FOUND DATA'!U40</f>
        <v>89.26</v>
      </c>
    </row>
    <row r="38">
      <c r="A38" s="35">
        <f>'FOUND DATA'!T41</f>
        <v>5.13</v>
      </c>
      <c r="B38" s="35">
        <f>'FOUND DATA'!U41</f>
        <v>94.87</v>
      </c>
    </row>
    <row r="39">
      <c r="A39" s="35">
        <f>'FOUND DATA'!T42</f>
        <v>9.15</v>
      </c>
      <c r="B39" s="35">
        <f>'FOUND DATA'!U42</f>
        <v>90.85</v>
      </c>
    </row>
    <row r="40">
      <c r="A40" s="35">
        <f>'FOUND DATA'!T43</f>
        <v>2.5</v>
      </c>
      <c r="B40" s="35">
        <f>'FOUND DATA'!U43</f>
        <v>97.5</v>
      </c>
    </row>
    <row r="41">
      <c r="A41" s="35">
        <f>'FOUND DATA'!T44</f>
        <v>0</v>
      </c>
      <c r="B41" s="35">
        <f>'FOUND DATA'!U44</f>
        <v>100</v>
      </c>
    </row>
    <row r="42">
      <c r="A42" s="35">
        <f>'FOUND DATA'!T45</f>
        <v>7.56</v>
      </c>
      <c r="B42" s="35">
        <f>'FOUND DATA'!U45</f>
        <v>92.44</v>
      </c>
    </row>
    <row r="43">
      <c r="A43" s="35">
        <f>'FOUND DATA'!T46</f>
        <v>0</v>
      </c>
      <c r="B43" s="35">
        <f>'FOUND DATA'!U46</f>
        <v>100</v>
      </c>
    </row>
    <row r="44">
      <c r="A44" s="35">
        <f>'FOUND DATA'!T47</f>
        <v>0</v>
      </c>
      <c r="B44" s="35">
        <f>'FOUND DATA'!U47</f>
        <v>100</v>
      </c>
    </row>
    <row r="45">
      <c r="A45" s="35">
        <f>'FOUND DATA'!T48</f>
        <v>0</v>
      </c>
      <c r="B45" s="35">
        <f>'FOUND DATA'!U48</f>
        <v>100</v>
      </c>
    </row>
    <row r="46">
      <c r="A46" s="35">
        <f>'FOUND DATA'!T49</f>
        <v>24.24</v>
      </c>
      <c r="B46" s="35">
        <f>'FOUND DATA'!U49</f>
        <v>75.76</v>
      </c>
    </row>
    <row r="47">
      <c r="A47" s="35">
        <f>'FOUND DATA'!T50</f>
        <v>6.45</v>
      </c>
      <c r="B47" s="35">
        <f>'FOUND DATA'!U50</f>
        <v>93.55</v>
      </c>
    </row>
    <row r="48">
      <c r="A48" s="35">
        <f>'FOUND DATA'!T51</f>
        <v>0</v>
      </c>
      <c r="B48" s="35">
        <f>'FOUND DATA'!U51</f>
        <v>100</v>
      </c>
    </row>
    <row r="49">
      <c r="A49" s="35">
        <f>'FOUND DATA'!T52</f>
        <v>6.67</v>
      </c>
      <c r="B49" s="35">
        <f>'FOUND DATA'!U52</f>
        <v>93.33</v>
      </c>
    </row>
    <row r="50">
      <c r="A50" s="35">
        <f>'FOUND DATA'!T53</f>
        <v>3.333333333</v>
      </c>
      <c r="B50" s="35">
        <f>'FOUND DATA'!U53</f>
        <v>96.66666667</v>
      </c>
    </row>
    <row r="51">
      <c r="A51" s="35">
        <f>'FOUND DATA'!T54</f>
        <v>8</v>
      </c>
      <c r="B51" s="35">
        <f>'FOUND DATA'!U54</f>
        <v>92</v>
      </c>
    </row>
    <row r="52">
      <c r="A52" s="35">
        <f>'FOUND DATA'!T55</f>
        <v>0</v>
      </c>
      <c r="B52" s="35">
        <f>'FOUND DATA'!U55</f>
        <v>100</v>
      </c>
    </row>
    <row r="53">
      <c r="A53" s="35">
        <f>'FOUND DATA'!T56</f>
        <v>1.265822785</v>
      </c>
      <c r="B53" s="35">
        <f>'FOUND DATA'!U56</f>
        <v>98.73417722</v>
      </c>
    </row>
    <row r="54">
      <c r="A54" s="35">
        <f>'FOUND DATA'!T57</f>
        <v>6.666666667</v>
      </c>
      <c r="B54" s="35">
        <f>'FOUND DATA'!U57</f>
        <v>93.33333333</v>
      </c>
    </row>
    <row r="55">
      <c r="A55" s="35">
        <f>'FOUND DATA'!T58</f>
        <v>3.66</v>
      </c>
      <c r="B55" s="35">
        <f>'FOUND DATA'!U58</f>
        <v>96.34</v>
      </c>
    </row>
    <row r="56">
      <c r="A56" s="35">
        <f>'FOUND DATA'!T59</f>
        <v>0</v>
      </c>
      <c r="B56" s="35">
        <f>'FOUND DATA'!U59</f>
        <v>100</v>
      </c>
    </row>
    <row r="57">
      <c r="A57" s="35">
        <f>'FOUND DATA'!T60</f>
        <v>3.37</v>
      </c>
      <c r="B57" s="35">
        <f>'FOUND DATA'!U60</f>
        <v>96.63</v>
      </c>
    </row>
    <row r="58">
      <c r="A58" s="35">
        <f>'FOUND DATA'!T61</f>
        <v>1.41</v>
      </c>
      <c r="B58" s="35">
        <f>'FOUND DATA'!U61</f>
        <v>98.59</v>
      </c>
    </row>
    <row r="59">
      <c r="A59" s="35">
        <f>'FOUND DATA'!T62</f>
        <v>8.33</v>
      </c>
      <c r="B59" s="35">
        <f>'FOUND DATA'!U62</f>
        <v>91.67</v>
      </c>
    </row>
    <row r="60">
      <c r="A60" s="35">
        <f>'FOUND DATA'!T63</f>
        <v>5</v>
      </c>
      <c r="B60" s="35">
        <f>'FOUND DATA'!U63</f>
        <v>95</v>
      </c>
    </row>
    <row r="61">
      <c r="A61" s="35">
        <f>'FOUND DATA'!T64</f>
        <v>0</v>
      </c>
      <c r="B61" s="35">
        <f>'FOUND DATA'!U64</f>
        <v>100</v>
      </c>
    </row>
    <row r="62">
      <c r="A62" s="35">
        <f>'FOUND DATA'!T65</f>
        <v>7.692307692</v>
      </c>
      <c r="B62" s="35">
        <f>'FOUND DATA'!U65</f>
        <v>92.30769231</v>
      </c>
    </row>
    <row r="63">
      <c r="A63" s="35">
        <f>'FOUND DATA'!T66</f>
        <v>4.444444444</v>
      </c>
      <c r="B63" s="35">
        <f>'FOUND DATA'!U66</f>
        <v>95.55555556</v>
      </c>
    </row>
    <row r="64">
      <c r="A64" s="35">
        <f>'FOUND DATA'!T67</f>
        <v>0</v>
      </c>
      <c r="B64" s="35">
        <f>'FOUND DATA'!U67</f>
        <v>100</v>
      </c>
    </row>
    <row r="65">
      <c r="A65" s="35">
        <f>'FOUND DATA'!T68</f>
        <v>5.34351145</v>
      </c>
      <c r="B65" s="35">
        <f>'FOUND DATA'!U68</f>
        <v>94.65648855</v>
      </c>
    </row>
    <row r="66">
      <c r="A66" s="35">
        <f>'FOUND DATA'!T69</f>
        <v>3.125</v>
      </c>
      <c r="B66" s="35">
        <f>'FOUND DATA'!U69</f>
        <v>96.875</v>
      </c>
    </row>
    <row r="67">
      <c r="A67" s="35">
        <f>'FOUND DATA'!T70</f>
        <v>1.639344262</v>
      </c>
      <c r="B67" s="35">
        <f>'FOUND DATA'!U70</f>
        <v>98.36065574</v>
      </c>
    </row>
    <row r="68">
      <c r="A68" s="35">
        <f>'FOUND DATA'!T71</f>
        <v>0</v>
      </c>
      <c r="B68" s="35">
        <f>'FOUND DATA'!U71</f>
        <v>100</v>
      </c>
    </row>
    <row r="69">
      <c r="A69" s="35">
        <f>'FOUND DATA'!T72</f>
        <v>1.17</v>
      </c>
      <c r="B69" s="35">
        <f>'FOUND DATA'!U72</f>
        <v>98.83</v>
      </c>
    </row>
    <row r="70">
      <c r="A70" s="35">
        <f>'FOUND DATA'!T73</f>
        <v>0.6993006993</v>
      </c>
      <c r="B70" s="35">
        <f>'FOUND DATA'!U73</f>
        <v>99.3006993</v>
      </c>
    </row>
    <row r="71">
      <c r="A71" s="35">
        <f>'FOUND DATA'!T74</f>
        <v>4.597701149</v>
      </c>
      <c r="B71" s="35">
        <f>'FOUND DATA'!U74</f>
        <v>95.40229885</v>
      </c>
    </row>
    <row r="72">
      <c r="A72" s="35">
        <f>'FOUND DATA'!T75</f>
        <v>9.230769231</v>
      </c>
      <c r="B72" s="35">
        <f>'FOUND DATA'!U75</f>
        <v>90.76923077</v>
      </c>
    </row>
    <row r="73">
      <c r="A73" s="35">
        <f>'FOUND DATA'!T76</f>
        <v>0.7575757576</v>
      </c>
      <c r="B73" s="35">
        <f>'FOUND DATA'!U76</f>
        <v>99.24242424</v>
      </c>
    </row>
    <row r="74">
      <c r="A74" s="35">
        <f>'FOUND DATA'!T77</f>
        <v>6.52173913</v>
      </c>
      <c r="B74" s="35">
        <f>'FOUND DATA'!U77</f>
        <v>93.47826087</v>
      </c>
    </row>
    <row r="75">
      <c r="A75" s="35">
        <f>'FOUND DATA'!T78</f>
        <v>3.333333333</v>
      </c>
      <c r="B75" s="35">
        <f>'FOUND DATA'!U78</f>
        <v>96.66666667</v>
      </c>
    </row>
    <row r="76">
      <c r="A76" s="35">
        <f>'FOUND DATA'!T79</f>
        <v>1.282051282</v>
      </c>
      <c r="B76" s="35">
        <f>'FOUND DATA'!U79</f>
        <v>98.71794872</v>
      </c>
    </row>
    <row r="77">
      <c r="A77" s="35">
        <f>'FOUND DATA'!T80</f>
        <v>0</v>
      </c>
      <c r="B77" s="35">
        <f>'FOUND DATA'!U80</f>
        <v>100</v>
      </c>
    </row>
    <row r="78">
      <c r="A78" s="35">
        <f>'FOUND DATA'!T81</f>
        <v>0</v>
      </c>
      <c r="B78" s="35">
        <f>'FOUND DATA'!U81</f>
        <v>100</v>
      </c>
    </row>
    <row r="79">
      <c r="A79" s="35">
        <f>'FOUND DATA'!T82</f>
        <v>0</v>
      </c>
      <c r="B79" s="35">
        <f>'FOUND DATA'!U82</f>
        <v>100</v>
      </c>
    </row>
    <row r="80">
      <c r="A80" s="35">
        <f>'FOUND DATA'!T83</f>
        <v>4.54</v>
      </c>
      <c r="B80" s="35">
        <f>'FOUND DATA'!U83</f>
        <v>95.46</v>
      </c>
    </row>
    <row r="81">
      <c r="A81" s="35">
        <f>'FOUND DATA'!T84</f>
        <v>0.78</v>
      </c>
      <c r="B81" s="35">
        <f>'FOUND DATA'!U84</f>
        <v>99.22</v>
      </c>
    </row>
    <row r="82">
      <c r="A82" s="35">
        <f>'FOUND DATA'!T85</f>
        <v>0</v>
      </c>
      <c r="B82" s="35">
        <f>'FOUND DATA'!U85</f>
        <v>100</v>
      </c>
    </row>
    <row r="83">
      <c r="A83" s="35">
        <f>'FOUND DATA'!T86</f>
        <v>7.69</v>
      </c>
      <c r="B83" s="35">
        <f>'FOUND DATA'!U86</f>
        <v>92.31</v>
      </c>
    </row>
    <row r="84">
      <c r="A84" s="35">
        <f>'FOUND DATA'!T87</f>
        <v>0</v>
      </c>
      <c r="B84" s="35">
        <f>'FOUND DATA'!U87</f>
        <v>100</v>
      </c>
    </row>
    <row r="85">
      <c r="A85" s="35">
        <f>'FOUND DATA'!T88</f>
        <v>0</v>
      </c>
      <c r="B85" s="35">
        <f>'FOUND DATA'!U88</f>
        <v>100</v>
      </c>
    </row>
    <row r="86">
      <c r="A86" s="35">
        <f>'FOUND DATA'!T89</f>
        <v>0</v>
      </c>
      <c r="B86" s="35">
        <f>'FOUND DATA'!U89</f>
        <v>100</v>
      </c>
    </row>
    <row r="87">
      <c r="A87" s="35">
        <f>'FOUND DATA'!T90</f>
        <v>0</v>
      </c>
      <c r="B87" s="35">
        <f>'FOUND DATA'!U90</f>
        <v>100</v>
      </c>
    </row>
    <row r="88">
      <c r="A88" s="35">
        <f>'FOUND DATA'!T91</f>
        <v>0.6</v>
      </c>
      <c r="B88" s="35">
        <f>'FOUND DATA'!U91</f>
        <v>99.4</v>
      </c>
    </row>
    <row r="89">
      <c r="A89" s="35">
        <f>'FOUND DATA'!T92</f>
        <v>1.49</v>
      </c>
      <c r="B89" s="35">
        <f>'FOUND DATA'!U92</f>
        <v>98.51</v>
      </c>
    </row>
    <row r="90">
      <c r="A90" s="35">
        <f>'FOUND DATA'!T93</f>
        <v>2.48</v>
      </c>
      <c r="B90" s="35">
        <f>'FOUND DATA'!U93</f>
        <v>97.52</v>
      </c>
    </row>
    <row r="91">
      <c r="A91" s="35">
        <f>'FOUND DATA'!T94</f>
        <v>7.7</v>
      </c>
      <c r="B91" s="35">
        <f>'FOUND DATA'!U94</f>
        <v>92.3</v>
      </c>
    </row>
    <row r="92">
      <c r="A92" s="35">
        <f>'FOUND DATA'!T95</f>
        <v>8.77</v>
      </c>
      <c r="B92" s="35">
        <f>'FOUND DATA'!U95</f>
        <v>91.23</v>
      </c>
    </row>
    <row r="93">
      <c r="A93" s="35">
        <f>'FOUND DATA'!T96</f>
        <v>3.36</v>
      </c>
      <c r="B93" s="35">
        <f>'FOUND DATA'!U96</f>
        <v>96.64</v>
      </c>
    </row>
    <row r="94">
      <c r="A94" s="35">
        <f>'FOUND DATA'!T97</f>
        <v>0</v>
      </c>
      <c r="B94" s="35">
        <f>'FOUND DATA'!U97</f>
        <v>100</v>
      </c>
    </row>
    <row r="95">
      <c r="A95" s="35">
        <f>'FOUND DATA'!T98</f>
        <v>1.03</v>
      </c>
      <c r="B95" s="35">
        <f>'FOUND DATA'!U98</f>
        <v>98.97</v>
      </c>
    </row>
    <row r="96">
      <c r="A96" s="35">
        <f>'FOUND DATA'!T99</f>
        <v>0.86</v>
      </c>
      <c r="B96" s="35">
        <f>'FOUND DATA'!U99</f>
        <v>99.14</v>
      </c>
    </row>
    <row r="97">
      <c r="A97" s="35">
        <f>'FOUND DATA'!T100</f>
        <v>1.85</v>
      </c>
      <c r="B97" s="35">
        <f>'FOUND DATA'!U100</f>
        <v>98.15</v>
      </c>
    </row>
    <row r="98">
      <c r="A98" s="35">
        <f>'FOUND DATA'!T101</f>
        <v>4.29</v>
      </c>
      <c r="B98" s="35">
        <f>'FOUND DATA'!U101</f>
        <v>95.71</v>
      </c>
    </row>
    <row r="99">
      <c r="A99" s="35">
        <f>'FOUND DATA'!T102</f>
        <v>2.63</v>
      </c>
      <c r="B99" s="35">
        <f>'FOUND DATA'!U102</f>
        <v>97.37</v>
      </c>
    </row>
    <row r="100">
      <c r="A100" s="35">
        <f>'FOUND DATA'!T103</f>
        <v>8.22</v>
      </c>
      <c r="B100" s="35">
        <f>'FOUND DATA'!U103</f>
        <v>91.78</v>
      </c>
    </row>
    <row r="101">
      <c r="A101" s="35">
        <f>'FOUND DATA'!T104</f>
        <v>4.2</v>
      </c>
      <c r="B101" s="35">
        <f>'FOUND DATA'!U104</f>
        <v>95.8</v>
      </c>
    </row>
    <row r="102">
      <c r="A102" s="35">
        <f>'FOUND DATA'!T105</f>
        <v>15.86</v>
      </c>
      <c r="B102" s="35">
        <f>'FOUND DATA'!U105</f>
        <v>84.14</v>
      </c>
    </row>
    <row r="103">
      <c r="A103" s="35">
        <f>'FOUND DATA'!T106</f>
        <v>10.8</v>
      </c>
      <c r="B103" s="35">
        <f>'FOUND DATA'!U106</f>
        <v>89.2</v>
      </c>
    </row>
    <row r="104">
      <c r="A104" s="35">
        <f>'FOUND DATA'!T107</f>
        <v>6.94</v>
      </c>
      <c r="B104" s="35">
        <f>'FOUND DATA'!U107</f>
        <v>93.06</v>
      </c>
    </row>
    <row r="105">
      <c r="A105" s="36" t="str">
        <f>'FOUND DATA'!T108</f>
        <v>END</v>
      </c>
      <c r="B105" s="36" t="str">
        <f>'FOUND DATA'!U108</f>
        <v>END</v>
      </c>
    </row>
    <row r="106">
      <c r="A106" s="36" t="str">
        <f>'FOUND DATA'!T111</f>
        <v/>
      </c>
      <c r="B106" s="36" t="str">
        <f>'FOUND DATA'!U111</f>
        <v/>
      </c>
    </row>
    <row r="107">
      <c r="A107" s="36" t="str">
        <f>'FOUND DATA'!T112</f>
        <v/>
      </c>
      <c r="B107" s="36" t="str">
        <f>'FOUND DATA'!U112</f>
        <v/>
      </c>
    </row>
    <row r="108">
      <c r="A108" s="36" t="str">
        <f>'FOUND DATA'!T113</f>
        <v/>
      </c>
      <c r="B108" s="36" t="str">
        <f>'FOUND DATA'!U113</f>
        <v/>
      </c>
    </row>
    <row r="109">
      <c r="A109" s="36" t="str">
        <f>'FOUND DATA'!T114</f>
        <v/>
      </c>
      <c r="B109" s="36" t="str">
        <f>'FOUND DATA'!U114</f>
        <v/>
      </c>
    </row>
    <row r="110">
      <c r="A110" s="36" t="str">
        <f>'FOUND DATA'!T115</f>
        <v/>
      </c>
      <c r="B110" s="36" t="str">
        <f>'FOUND DATA'!U115</f>
        <v/>
      </c>
    </row>
    <row r="111">
      <c r="A111" s="36" t="str">
        <f>'FOUND DATA'!T116</f>
        <v/>
      </c>
      <c r="B111" s="36" t="str">
        <f>'FOUND DATA'!U116</f>
        <v/>
      </c>
    </row>
    <row r="119">
      <c r="A119" s="36" t="str">
        <f>'FOUND DATA'!S121</f>
        <v/>
      </c>
    </row>
    <row r="120">
      <c r="A120" s="36" t="str">
        <f>'FOUND DATA'!S122</f>
        <v/>
      </c>
    </row>
    <row r="121">
      <c r="A121" s="36" t="str">
        <f>'FOUND DATA'!S123</f>
        <v/>
      </c>
    </row>
    <row r="122">
      <c r="A122" s="36" t="str">
        <f>'FOUND DATA'!S124</f>
        <v/>
      </c>
    </row>
    <row r="123">
      <c r="A123" s="36" t="str">
        <f>'FOUND DATA'!S125</f>
        <v/>
      </c>
    </row>
    <row r="124">
      <c r="A124" s="36" t="str">
        <f>'FOUND DATA'!S126</f>
        <v/>
      </c>
    </row>
    <row r="125">
      <c r="A125" s="36" t="str">
        <f>'FOUND DATA'!S127</f>
        <v/>
      </c>
    </row>
    <row r="126">
      <c r="A126" s="36" t="str">
        <f>'FOUND DATA'!S128</f>
        <v/>
      </c>
    </row>
    <row r="127">
      <c r="A127" s="36" t="str">
        <f>'FOUND DATA'!S129</f>
        <v/>
      </c>
    </row>
    <row r="128">
      <c r="A128" s="36" t="str">
        <f>'FOUND DATA'!S130</f>
        <v/>
      </c>
    </row>
    <row r="129">
      <c r="A129" s="36" t="str">
        <f>'FOUND DATA'!S131</f>
        <v/>
      </c>
    </row>
    <row r="130">
      <c r="A130" s="36" t="str">
        <f>'FOUND DATA'!S132</f>
        <v/>
      </c>
    </row>
    <row r="131">
      <c r="A131" s="36" t="str">
        <f>'FOUND DATA'!S133</f>
        <v/>
      </c>
    </row>
    <row r="132">
      <c r="A132" s="36" t="str">
        <f>'FOUND DATA'!S134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DATA'!W4</f>
        <v>FAIL (D,F)</v>
      </c>
      <c r="B1" s="36" t="str">
        <f>'FOUND DATA'!X4</f>
        <v>CLOSE PASS (C)</v>
      </c>
      <c r="C1" s="36" t="str">
        <f>'FOUND DATA'!Y4</f>
        <v>CLEAR PASS (A,B)</v>
      </c>
    </row>
    <row r="2">
      <c r="A2" s="35">
        <f>'FOUND DATA'!W5</f>
        <v>2.06</v>
      </c>
      <c r="B2" s="35">
        <f>'FOUND DATA'!X5</f>
        <v>4.11</v>
      </c>
      <c r="C2" s="35">
        <f>'FOUND DATA'!Y5</f>
        <v>93.83</v>
      </c>
    </row>
    <row r="3">
      <c r="A3" s="35">
        <f>'FOUND DATA'!W6</f>
        <v>6.02</v>
      </c>
      <c r="B3" s="35">
        <f>'FOUND DATA'!X6</f>
        <v>19.28</v>
      </c>
      <c r="C3" s="35">
        <f>'FOUND DATA'!Y6</f>
        <v>74.7</v>
      </c>
    </row>
    <row r="4">
      <c r="A4" s="35">
        <f>'FOUND DATA'!W7</f>
        <v>5.97</v>
      </c>
      <c r="B4" s="35">
        <f>'FOUND DATA'!X7</f>
        <v>16.42</v>
      </c>
      <c r="C4" s="35">
        <f>'FOUND DATA'!Y7</f>
        <v>77.61</v>
      </c>
    </row>
    <row r="5">
      <c r="A5" s="35">
        <f>'FOUND DATA'!W8</f>
        <v>9.52</v>
      </c>
      <c r="B5" s="35">
        <f>'FOUND DATA'!X8</f>
        <v>16.67</v>
      </c>
      <c r="C5" s="35">
        <f>'FOUND DATA'!Y8</f>
        <v>73.81</v>
      </c>
    </row>
    <row r="6">
      <c r="A6" s="35">
        <f>'FOUND DATA'!W9</f>
        <v>5.48</v>
      </c>
      <c r="B6" s="35">
        <f>'FOUND DATA'!X9</f>
        <v>32.19</v>
      </c>
      <c r="C6" s="35">
        <f>'FOUND DATA'!Y9</f>
        <v>62.33</v>
      </c>
    </row>
    <row r="7">
      <c r="A7" s="35">
        <f>'FOUND DATA'!W10</f>
        <v>9.15</v>
      </c>
      <c r="B7" s="35">
        <f>'FOUND DATA'!X10</f>
        <v>17.61</v>
      </c>
      <c r="C7" s="35">
        <f>'FOUND DATA'!Y10</f>
        <v>73.24</v>
      </c>
    </row>
    <row r="8">
      <c r="A8" s="35">
        <f>'FOUND DATA'!W11</f>
        <v>11.91</v>
      </c>
      <c r="B8" s="35">
        <f>'FOUND DATA'!X11</f>
        <v>19.64</v>
      </c>
      <c r="C8" s="35">
        <f>'FOUND DATA'!Y11</f>
        <v>68.45</v>
      </c>
    </row>
    <row r="9">
      <c r="A9" s="35">
        <f>'FOUND DATA'!W12</f>
        <v>13.75</v>
      </c>
      <c r="B9" s="35">
        <f>'FOUND DATA'!X12</f>
        <v>22.5</v>
      </c>
      <c r="C9" s="35">
        <f>'FOUND DATA'!Y12</f>
        <v>63.75</v>
      </c>
    </row>
    <row r="10">
      <c r="A10" s="35">
        <f>'FOUND DATA'!W13</f>
        <v>14.2</v>
      </c>
      <c r="B10" s="35">
        <f>'FOUND DATA'!X13</f>
        <v>12.26</v>
      </c>
      <c r="C10" s="35">
        <f>'FOUND DATA'!Y13</f>
        <v>73.54</v>
      </c>
    </row>
    <row r="11">
      <c r="A11" s="35">
        <f>'FOUND DATA'!W14</f>
        <v>8.75</v>
      </c>
      <c r="B11" s="35">
        <f>'FOUND DATA'!X14</f>
        <v>10.95</v>
      </c>
      <c r="C11" s="35">
        <f>'FOUND DATA'!Y14</f>
        <v>80.3</v>
      </c>
    </row>
    <row r="12">
      <c r="A12" s="35">
        <f>'FOUND DATA'!W15</f>
        <v>2.33</v>
      </c>
      <c r="B12" s="35">
        <f>'FOUND DATA'!X15</f>
        <v>17.83</v>
      </c>
      <c r="C12" s="35">
        <f>'FOUND DATA'!Y15</f>
        <v>79.84</v>
      </c>
    </row>
    <row r="13">
      <c r="A13" s="35">
        <f>'FOUND DATA'!W16</f>
        <v>6.93</v>
      </c>
      <c r="B13" s="35">
        <f>'FOUND DATA'!X16</f>
        <v>13.07</v>
      </c>
      <c r="C13" s="35">
        <f>'FOUND DATA'!Y16</f>
        <v>80</v>
      </c>
    </row>
    <row r="14">
      <c r="A14" s="35">
        <f>'FOUND DATA'!W17</f>
        <v>2.42</v>
      </c>
      <c r="B14" s="35">
        <f>'FOUND DATA'!X17</f>
        <v>4.03</v>
      </c>
      <c r="C14" s="35">
        <f>'FOUND DATA'!Y17</f>
        <v>93.55</v>
      </c>
    </row>
    <row r="15">
      <c r="A15" s="35">
        <f>'FOUND DATA'!W18</f>
        <v>12.07</v>
      </c>
      <c r="B15" s="35">
        <f>'FOUND DATA'!X18</f>
        <v>29.89</v>
      </c>
      <c r="C15" s="35">
        <f>'FOUND DATA'!Y18</f>
        <v>58.04</v>
      </c>
    </row>
    <row r="16">
      <c r="A16" s="35">
        <f>'FOUND DATA'!W19</f>
        <v>7.15</v>
      </c>
      <c r="B16" s="35">
        <f>'FOUND DATA'!X19</f>
        <v>28.57</v>
      </c>
      <c r="C16" s="35">
        <f>'FOUND DATA'!Y19</f>
        <v>64.28</v>
      </c>
    </row>
    <row r="17">
      <c r="A17" s="35">
        <f>'FOUND DATA'!W20</f>
        <v>10.35</v>
      </c>
      <c r="B17" s="35">
        <f>'FOUND DATA'!X20</f>
        <v>6.9</v>
      </c>
      <c r="C17" s="35">
        <f>'FOUND DATA'!Y20</f>
        <v>82.75</v>
      </c>
    </row>
    <row r="18">
      <c r="A18" s="35">
        <f>'FOUND DATA'!W21</f>
        <v>3.44</v>
      </c>
      <c r="B18" s="35">
        <f>'FOUND DATA'!X21</f>
        <v>13.79</v>
      </c>
      <c r="C18" s="35">
        <f>'FOUND DATA'!Y21</f>
        <v>82.77</v>
      </c>
    </row>
    <row r="19">
      <c r="A19" s="35">
        <f>'FOUND DATA'!W22</f>
        <v>0</v>
      </c>
      <c r="B19" s="35">
        <f>'FOUND DATA'!X22</f>
        <v>0</v>
      </c>
      <c r="C19" s="35">
        <f>'FOUND DATA'!Y22</f>
        <v>100</v>
      </c>
    </row>
    <row r="20">
      <c r="A20" s="35">
        <f>'FOUND DATA'!W23</f>
        <v>0</v>
      </c>
      <c r="B20" s="35">
        <f>'FOUND DATA'!X23</f>
        <v>0</v>
      </c>
      <c r="C20" s="35">
        <f>'FOUND DATA'!Y23</f>
        <v>100</v>
      </c>
    </row>
    <row r="21">
      <c r="A21" s="35">
        <f>'FOUND DATA'!W24</f>
        <v>0</v>
      </c>
      <c r="B21" s="35">
        <f>'FOUND DATA'!X24</f>
        <v>0</v>
      </c>
      <c r="C21" s="35">
        <f>'FOUND DATA'!Y24</f>
        <v>100</v>
      </c>
    </row>
    <row r="22">
      <c r="A22" s="35">
        <f>'FOUND DATA'!W25</f>
        <v>1.42</v>
      </c>
      <c r="B22" s="35">
        <f>'FOUND DATA'!X25</f>
        <v>3.32</v>
      </c>
      <c r="C22" s="35">
        <f>'FOUND DATA'!Y25</f>
        <v>95.26</v>
      </c>
    </row>
    <row r="23">
      <c r="A23" s="35">
        <f>'FOUND DATA'!W26</f>
        <v>0</v>
      </c>
      <c r="B23" s="35">
        <f>'FOUND DATA'!X26</f>
        <v>17.39</v>
      </c>
      <c r="C23" s="35">
        <f>'FOUND DATA'!Y26</f>
        <v>82.61</v>
      </c>
    </row>
    <row r="24">
      <c r="A24" s="35">
        <f>'FOUND DATA'!W27</f>
        <v>0</v>
      </c>
      <c r="B24" s="35">
        <f>'FOUND DATA'!X27</f>
        <v>5.41</v>
      </c>
      <c r="C24" s="35">
        <f>'FOUND DATA'!Y27</f>
        <v>94.59</v>
      </c>
    </row>
    <row r="25">
      <c r="A25" s="35">
        <f>'FOUND DATA'!W28</f>
        <v>0</v>
      </c>
      <c r="B25" s="35">
        <f>'FOUND DATA'!X28</f>
        <v>26.67</v>
      </c>
      <c r="C25" s="35">
        <f>'FOUND DATA'!Y28</f>
        <v>73.33</v>
      </c>
    </row>
    <row r="26">
      <c r="A26" s="35">
        <f>'FOUND DATA'!W29</f>
        <v>1.31</v>
      </c>
      <c r="B26" s="35">
        <f>'FOUND DATA'!X29</f>
        <v>1.96</v>
      </c>
      <c r="C26" s="35">
        <f>'FOUND DATA'!Y29</f>
        <v>96.73</v>
      </c>
    </row>
    <row r="27">
      <c r="A27" s="35">
        <f>'FOUND DATA'!W30</f>
        <v>0.71</v>
      </c>
      <c r="B27" s="35">
        <f>'FOUND DATA'!X30</f>
        <v>13.57</v>
      </c>
      <c r="C27" s="35">
        <f>'FOUND DATA'!Y30</f>
        <v>85.72</v>
      </c>
    </row>
    <row r="28">
      <c r="A28" s="35">
        <f>'FOUND DATA'!W31</f>
        <v>8.22</v>
      </c>
      <c r="B28" s="35">
        <f>'FOUND DATA'!X31</f>
        <v>41.1</v>
      </c>
      <c r="C28" s="35">
        <f>'FOUND DATA'!Y31</f>
        <v>50.68</v>
      </c>
    </row>
    <row r="29">
      <c r="A29" s="35">
        <f>'FOUND DATA'!W32</f>
        <v>12.5</v>
      </c>
      <c r="B29" s="35">
        <f>'FOUND DATA'!X32</f>
        <v>18.75</v>
      </c>
      <c r="C29" s="35">
        <f>'FOUND DATA'!Y32</f>
        <v>68.75</v>
      </c>
    </row>
    <row r="30">
      <c r="A30" s="35">
        <f>'FOUND DATA'!W33</f>
        <v>12.5</v>
      </c>
      <c r="B30" s="35">
        <f>'FOUND DATA'!X33</f>
        <v>33.33</v>
      </c>
      <c r="C30" s="35">
        <f>'FOUND DATA'!Y33</f>
        <v>54.17</v>
      </c>
    </row>
    <row r="31">
      <c r="A31" s="35">
        <f>'FOUND DATA'!W34</f>
        <v>3.92</v>
      </c>
      <c r="B31" s="35">
        <f>'FOUND DATA'!X34</f>
        <v>3.92</v>
      </c>
      <c r="C31" s="35">
        <f>'FOUND DATA'!Y34</f>
        <v>92.16</v>
      </c>
    </row>
    <row r="32">
      <c r="A32" s="35">
        <f>'FOUND DATA'!W35</f>
        <v>11.37</v>
      </c>
      <c r="B32" s="35">
        <f>'FOUND DATA'!X35</f>
        <v>9.09</v>
      </c>
      <c r="C32" s="35">
        <f>'FOUND DATA'!Y35</f>
        <v>79.54</v>
      </c>
    </row>
    <row r="33">
      <c r="A33" s="35">
        <f>'FOUND DATA'!W36</f>
        <v>7.14</v>
      </c>
      <c r="B33" s="35">
        <f>'FOUND DATA'!X36</f>
        <v>17.86</v>
      </c>
      <c r="C33" s="35">
        <f>'FOUND DATA'!Y36</f>
        <v>75</v>
      </c>
    </row>
    <row r="34">
      <c r="A34" s="35">
        <f>'FOUND DATA'!W37</f>
        <v>4.166666667</v>
      </c>
      <c r="B34" s="35">
        <f>'FOUND DATA'!X37</f>
        <v>0</v>
      </c>
      <c r="C34" s="35">
        <f>'FOUND DATA'!Y37</f>
        <v>95.83333333</v>
      </c>
    </row>
    <row r="35">
      <c r="A35" s="35">
        <f>'FOUND DATA'!W38</f>
        <v>1.612903226</v>
      </c>
      <c r="B35" s="35">
        <f>'FOUND DATA'!X38</f>
        <v>17.74193548</v>
      </c>
      <c r="C35" s="35">
        <f>'FOUND DATA'!Y38</f>
        <v>80.64516129</v>
      </c>
    </row>
    <row r="36">
      <c r="A36" s="35">
        <f>'FOUND DATA'!W39</f>
        <v>5.66</v>
      </c>
      <c r="B36" s="35">
        <f>'FOUND DATA'!X39</f>
        <v>3.77</v>
      </c>
      <c r="C36" s="35">
        <f>'FOUND DATA'!Y39</f>
        <v>90.57</v>
      </c>
    </row>
    <row r="37">
      <c r="A37" s="35">
        <f>'FOUND DATA'!W40</f>
        <v>10.74</v>
      </c>
      <c r="B37" s="35">
        <f>'FOUND DATA'!X40</f>
        <v>8.72</v>
      </c>
      <c r="C37" s="35">
        <f>'FOUND DATA'!Y40</f>
        <v>80.54</v>
      </c>
    </row>
    <row r="38">
      <c r="A38" s="35">
        <f>'FOUND DATA'!W41</f>
        <v>5.13</v>
      </c>
      <c r="B38" s="35">
        <f>'FOUND DATA'!X41</f>
        <v>10.9</v>
      </c>
      <c r="C38" s="35">
        <f>'FOUND DATA'!Y41</f>
        <v>83.97</v>
      </c>
    </row>
    <row r="39">
      <c r="A39" s="35">
        <f>'FOUND DATA'!W42</f>
        <v>9.15</v>
      </c>
      <c r="B39" s="35">
        <f>'FOUND DATA'!X42</f>
        <v>15.03</v>
      </c>
      <c r="C39" s="35">
        <f>'FOUND DATA'!Y42</f>
        <v>75.82</v>
      </c>
    </row>
    <row r="40">
      <c r="A40" s="35">
        <f>'FOUND DATA'!W43</f>
        <v>2.5</v>
      </c>
      <c r="B40" s="35">
        <f>'FOUND DATA'!X43</f>
        <v>7.5</v>
      </c>
      <c r="C40" s="35">
        <f>'FOUND DATA'!Y43</f>
        <v>90</v>
      </c>
    </row>
    <row r="41">
      <c r="A41" s="35">
        <f>'FOUND DATA'!W44</f>
        <v>0</v>
      </c>
      <c r="B41" s="35">
        <f>'FOUND DATA'!X44</f>
        <v>18.18</v>
      </c>
      <c r="C41" s="35">
        <f>'FOUND DATA'!Y44</f>
        <v>81.82</v>
      </c>
    </row>
    <row r="42">
      <c r="A42" s="35">
        <f>'FOUND DATA'!W45</f>
        <v>7.56</v>
      </c>
      <c r="B42" s="35">
        <f>'FOUND DATA'!X45</f>
        <v>18.72</v>
      </c>
      <c r="C42" s="35">
        <f>'FOUND DATA'!Y45</f>
        <v>73.72</v>
      </c>
    </row>
    <row r="43">
      <c r="A43" s="35">
        <f>'FOUND DATA'!W46</f>
        <v>0</v>
      </c>
      <c r="B43" s="35">
        <f>'FOUND DATA'!X46</f>
        <v>0</v>
      </c>
      <c r="C43" s="35">
        <f>'FOUND DATA'!Y46</f>
        <v>100</v>
      </c>
    </row>
    <row r="44">
      <c r="A44" s="35">
        <f>'FOUND DATA'!W47</f>
        <v>0</v>
      </c>
      <c r="B44" s="35">
        <f>'FOUND DATA'!X47</f>
        <v>12.5</v>
      </c>
      <c r="C44" s="35">
        <f>'FOUND DATA'!Y47</f>
        <v>87.5</v>
      </c>
    </row>
    <row r="45">
      <c r="A45" s="35">
        <f>'FOUND DATA'!W48</f>
        <v>0</v>
      </c>
      <c r="B45" s="35">
        <f>'FOUND DATA'!X48</f>
        <v>2.083333333</v>
      </c>
      <c r="C45" s="35">
        <f>'FOUND DATA'!Y48</f>
        <v>97.91666667</v>
      </c>
    </row>
    <row r="46">
      <c r="A46" s="35">
        <f>'FOUND DATA'!W49</f>
        <v>24.24</v>
      </c>
      <c r="B46" s="35">
        <f>'FOUND DATA'!X49</f>
        <v>24.24</v>
      </c>
      <c r="C46" s="35">
        <f>'FOUND DATA'!Y49</f>
        <v>51.52</v>
      </c>
    </row>
    <row r="47">
      <c r="A47" s="35">
        <f>'FOUND DATA'!W50</f>
        <v>6.45</v>
      </c>
      <c r="B47" s="35">
        <f>'FOUND DATA'!X50</f>
        <v>22.58</v>
      </c>
      <c r="C47" s="35">
        <f>'FOUND DATA'!Y50</f>
        <v>70.97</v>
      </c>
    </row>
    <row r="48">
      <c r="A48" s="35">
        <f>'FOUND DATA'!W51</f>
        <v>0</v>
      </c>
      <c r="B48" s="35">
        <f>'FOUND DATA'!X51</f>
        <v>0.95</v>
      </c>
      <c r="C48" s="35">
        <f>'FOUND DATA'!Y51</f>
        <v>99.05</v>
      </c>
    </row>
    <row r="49">
      <c r="A49" s="35">
        <f>'FOUND DATA'!W52</f>
        <v>6.67</v>
      </c>
      <c r="B49" s="35">
        <f>'FOUND DATA'!X52</f>
        <v>46.66</v>
      </c>
      <c r="C49" s="35">
        <f>'FOUND DATA'!Y52</f>
        <v>46.67</v>
      </c>
    </row>
    <row r="50">
      <c r="A50" s="35">
        <f>'FOUND DATA'!W53</f>
        <v>3.333333333</v>
      </c>
      <c r="B50" s="35">
        <f>'FOUND DATA'!X53</f>
        <v>16.66666667</v>
      </c>
      <c r="C50" s="35">
        <f>'FOUND DATA'!Y53</f>
        <v>80</v>
      </c>
    </row>
    <row r="51">
      <c r="A51" s="35">
        <f>'FOUND DATA'!W54</f>
        <v>8</v>
      </c>
      <c r="B51" s="35">
        <f>'FOUND DATA'!X54</f>
        <v>14</v>
      </c>
      <c r="C51" s="35">
        <f>'FOUND DATA'!Y54</f>
        <v>78</v>
      </c>
    </row>
    <row r="52">
      <c r="A52" s="35">
        <f>'FOUND DATA'!W55</f>
        <v>0</v>
      </c>
      <c r="B52" s="35">
        <f>'FOUND DATA'!X55</f>
        <v>0</v>
      </c>
      <c r="C52" s="35">
        <f>'FOUND DATA'!Y55</f>
        <v>100</v>
      </c>
    </row>
    <row r="53">
      <c r="A53" s="35">
        <f>'FOUND DATA'!W56</f>
        <v>1.265822785</v>
      </c>
      <c r="B53" s="35">
        <f>'FOUND DATA'!X56</f>
        <v>20.25316456</v>
      </c>
      <c r="C53" s="35">
        <f>'FOUND DATA'!Y56</f>
        <v>78.48101266</v>
      </c>
    </row>
    <row r="54">
      <c r="A54" s="35">
        <f>'FOUND DATA'!W57</f>
        <v>6.666666667</v>
      </c>
      <c r="B54" s="35">
        <f>'FOUND DATA'!X57</f>
        <v>46.66666667</v>
      </c>
      <c r="C54" s="35">
        <f>'FOUND DATA'!Y57</f>
        <v>46.66666667</v>
      </c>
    </row>
    <row r="55">
      <c r="A55" s="35">
        <f>'FOUND DATA'!W58</f>
        <v>3.66</v>
      </c>
      <c r="B55" s="35">
        <f>'FOUND DATA'!X58</f>
        <v>30.28</v>
      </c>
      <c r="C55" s="35">
        <f>'FOUND DATA'!Y58</f>
        <v>66.06</v>
      </c>
    </row>
    <row r="56">
      <c r="A56" s="35">
        <f>'FOUND DATA'!W59</f>
        <v>0</v>
      </c>
      <c r="B56" s="35">
        <f>'FOUND DATA'!X59</f>
        <v>8.43</v>
      </c>
      <c r="C56" s="35">
        <f>'FOUND DATA'!Y59</f>
        <v>91.57</v>
      </c>
    </row>
    <row r="57">
      <c r="A57" s="35">
        <f>'FOUND DATA'!W60</f>
        <v>3.37</v>
      </c>
      <c r="B57" s="35">
        <f>'FOUND DATA'!X60</f>
        <v>8.99</v>
      </c>
      <c r="C57" s="35">
        <f>'FOUND DATA'!Y60</f>
        <v>87.64</v>
      </c>
    </row>
    <row r="58">
      <c r="A58" s="35">
        <f>'FOUND DATA'!W61</f>
        <v>1.41</v>
      </c>
      <c r="B58" s="35">
        <f>'FOUND DATA'!X61</f>
        <v>23.94</v>
      </c>
      <c r="C58" s="35">
        <f>'FOUND DATA'!Y61</f>
        <v>74.65</v>
      </c>
    </row>
    <row r="59">
      <c r="A59" s="35">
        <f>'FOUND DATA'!W62</f>
        <v>8.33</v>
      </c>
      <c r="B59" s="35">
        <f>'FOUND DATA'!X62</f>
        <v>8.33</v>
      </c>
      <c r="C59" s="35">
        <f>'FOUND DATA'!Y62</f>
        <v>83.34</v>
      </c>
    </row>
    <row r="60">
      <c r="A60" s="35">
        <f>'FOUND DATA'!W63</f>
        <v>5</v>
      </c>
      <c r="B60" s="35">
        <f>'FOUND DATA'!X63</f>
        <v>10</v>
      </c>
      <c r="C60" s="35">
        <f>'FOUND DATA'!Y63</f>
        <v>85</v>
      </c>
    </row>
    <row r="61">
      <c r="A61" s="35">
        <f>'FOUND DATA'!W64</f>
        <v>0</v>
      </c>
      <c r="B61" s="35">
        <f>'FOUND DATA'!X64</f>
        <v>9.09</v>
      </c>
      <c r="C61" s="35">
        <f>'FOUND DATA'!Y64</f>
        <v>90.91</v>
      </c>
    </row>
    <row r="62">
      <c r="A62" s="35">
        <f>'FOUND DATA'!W65</f>
        <v>7.692307692</v>
      </c>
      <c r="B62" s="35">
        <f>'FOUND DATA'!X65</f>
        <v>11.88811189</v>
      </c>
      <c r="C62" s="35">
        <f>'FOUND DATA'!Y65</f>
        <v>80.41958042</v>
      </c>
    </row>
    <row r="63">
      <c r="A63" s="35">
        <f>'FOUND DATA'!W66</f>
        <v>4.444444444</v>
      </c>
      <c r="B63" s="35">
        <f>'FOUND DATA'!X66</f>
        <v>24.44444444</v>
      </c>
      <c r="C63" s="35">
        <f>'FOUND DATA'!Y66</f>
        <v>71.11111111</v>
      </c>
    </row>
    <row r="64">
      <c r="A64" s="35">
        <f>'FOUND DATA'!W67</f>
        <v>0</v>
      </c>
      <c r="B64" s="35">
        <f>'FOUND DATA'!X67</f>
        <v>9.090909091</v>
      </c>
      <c r="C64" s="35">
        <f>'FOUND DATA'!Y67</f>
        <v>90.90909091</v>
      </c>
    </row>
    <row r="65">
      <c r="A65" s="35">
        <f>'FOUND DATA'!W68</f>
        <v>5.34351145</v>
      </c>
      <c r="B65" s="35">
        <f>'FOUND DATA'!X68</f>
        <v>35.8778626</v>
      </c>
      <c r="C65" s="35">
        <f>'FOUND DATA'!Y68</f>
        <v>58.77862595</v>
      </c>
    </row>
    <row r="66">
      <c r="A66" s="35">
        <f>'FOUND DATA'!W69</f>
        <v>3.125</v>
      </c>
      <c r="B66" s="35">
        <f>'FOUND DATA'!X69</f>
        <v>31.25</v>
      </c>
      <c r="C66" s="35">
        <f>'FOUND DATA'!Y69</f>
        <v>65.625</v>
      </c>
    </row>
    <row r="67">
      <c r="A67" s="35">
        <f>'FOUND DATA'!W70</f>
        <v>1.639344262</v>
      </c>
      <c r="B67" s="35">
        <f>'FOUND DATA'!X70</f>
        <v>39.3442623</v>
      </c>
      <c r="C67" s="35">
        <f>'FOUND DATA'!Y70</f>
        <v>59.01639344</v>
      </c>
    </row>
    <row r="68">
      <c r="A68" s="35">
        <f>'FOUND DATA'!W71</f>
        <v>0</v>
      </c>
      <c r="B68" s="35">
        <f>'FOUND DATA'!X71</f>
        <v>2.702702703</v>
      </c>
      <c r="C68" s="35">
        <f>'FOUND DATA'!Y71</f>
        <v>97.2972973</v>
      </c>
    </row>
    <row r="69">
      <c r="A69" s="35">
        <f>'FOUND DATA'!W72</f>
        <v>1.17</v>
      </c>
      <c r="B69" s="35">
        <f>'FOUND DATA'!X72</f>
        <v>28.24</v>
      </c>
      <c r="C69" s="35">
        <f>'FOUND DATA'!Y72</f>
        <v>70.59</v>
      </c>
    </row>
    <row r="70">
      <c r="A70" s="35">
        <f>'FOUND DATA'!W73</f>
        <v>0.6993006993</v>
      </c>
      <c r="B70" s="35">
        <f>'FOUND DATA'!X73</f>
        <v>6.293706294</v>
      </c>
      <c r="C70" s="35">
        <f>'FOUND DATA'!Y73</f>
        <v>93.00699301</v>
      </c>
    </row>
    <row r="71">
      <c r="A71" s="35">
        <f>'FOUND DATA'!W74</f>
        <v>4.597701149</v>
      </c>
      <c r="B71" s="35">
        <f>'FOUND DATA'!X74</f>
        <v>25.28735632</v>
      </c>
      <c r="C71" s="35">
        <f>'FOUND DATA'!Y74</f>
        <v>70.11494253</v>
      </c>
    </row>
    <row r="72">
      <c r="A72" s="35">
        <f>'FOUND DATA'!W75</f>
        <v>9.230769231</v>
      </c>
      <c r="B72" s="35">
        <f>'FOUND DATA'!X75</f>
        <v>24.61538462</v>
      </c>
      <c r="C72" s="35">
        <f>'FOUND DATA'!Y75</f>
        <v>66.15384615</v>
      </c>
    </row>
    <row r="73">
      <c r="A73" s="35">
        <f>'FOUND DATA'!W76</f>
        <v>0.7575757576</v>
      </c>
      <c r="B73" s="35">
        <f>'FOUND DATA'!X76</f>
        <v>12.87878788</v>
      </c>
      <c r="C73" s="35">
        <f>'FOUND DATA'!Y76</f>
        <v>86.36363636</v>
      </c>
    </row>
    <row r="74">
      <c r="A74" s="35">
        <f>'FOUND DATA'!W77</f>
        <v>6.52173913</v>
      </c>
      <c r="B74" s="35">
        <f>'FOUND DATA'!X77</f>
        <v>13.04347826</v>
      </c>
      <c r="C74" s="35">
        <f>'FOUND DATA'!Y77</f>
        <v>80.43478261</v>
      </c>
    </row>
    <row r="75">
      <c r="A75" s="35">
        <f>'FOUND DATA'!W78</f>
        <v>3.333333333</v>
      </c>
      <c r="B75" s="35">
        <f>'FOUND DATA'!X78</f>
        <v>14</v>
      </c>
      <c r="C75" s="35">
        <f>'FOUND DATA'!Y78</f>
        <v>82.66666667</v>
      </c>
    </row>
    <row r="76">
      <c r="A76" s="35">
        <f>'FOUND DATA'!W79</f>
        <v>1.282051282</v>
      </c>
      <c r="B76" s="35">
        <f>'FOUND DATA'!X79</f>
        <v>1.282051282</v>
      </c>
      <c r="C76" s="35">
        <f>'FOUND DATA'!Y79</f>
        <v>97.43589744</v>
      </c>
    </row>
    <row r="77">
      <c r="A77" s="35">
        <f>'FOUND DATA'!W80</f>
        <v>0</v>
      </c>
      <c r="B77" s="35">
        <f>'FOUND DATA'!X80</f>
        <v>5.05</v>
      </c>
      <c r="C77" s="35">
        <f>'FOUND DATA'!Y80</f>
        <v>94.95</v>
      </c>
    </row>
    <row r="78">
      <c r="A78" s="35">
        <f>'FOUND DATA'!W81</f>
        <v>0</v>
      </c>
      <c r="B78" s="35">
        <f>'FOUND DATA'!X81</f>
        <v>2.53</v>
      </c>
      <c r="C78" s="35">
        <f>'FOUND DATA'!Y81</f>
        <v>97.47</v>
      </c>
    </row>
    <row r="79">
      <c r="A79" s="35">
        <f>'FOUND DATA'!W82</f>
        <v>0</v>
      </c>
      <c r="B79" s="35">
        <f>'FOUND DATA'!X82</f>
        <v>2.38</v>
      </c>
      <c r="C79" s="35">
        <f>'FOUND DATA'!Y82</f>
        <v>97.62</v>
      </c>
    </row>
    <row r="80">
      <c r="A80" s="35">
        <f>'FOUND DATA'!W83</f>
        <v>4.54</v>
      </c>
      <c r="B80" s="35">
        <f>'FOUND DATA'!X83</f>
        <v>9.09</v>
      </c>
      <c r="C80" s="35">
        <f>'FOUND DATA'!Y83</f>
        <v>86.37</v>
      </c>
    </row>
    <row r="81">
      <c r="A81" s="35">
        <f>'FOUND DATA'!W84</f>
        <v>0.78</v>
      </c>
      <c r="B81" s="35">
        <f>'FOUND DATA'!X84</f>
        <v>14.06</v>
      </c>
      <c r="C81" s="35">
        <f>'FOUND DATA'!Y84</f>
        <v>85.16</v>
      </c>
    </row>
    <row r="82">
      <c r="A82" s="35">
        <f>'FOUND DATA'!W85</f>
        <v>0</v>
      </c>
      <c r="B82" s="35">
        <f>'FOUND DATA'!X85</f>
        <v>4.55</v>
      </c>
      <c r="C82" s="35">
        <f>'FOUND DATA'!Y85</f>
        <v>95.45</v>
      </c>
    </row>
    <row r="83">
      <c r="A83" s="35">
        <f>'FOUND DATA'!W86</f>
        <v>7.69</v>
      </c>
      <c r="B83" s="35">
        <f>'FOUND DATA'!X86</f>
        <v>23.08</v>
      </c>
      <c r="C83" s="35">
        <f>'FOUND DATA'!Y86</f>
        <v>69.23</v>
      </c>
    </row>
    <row r="84">
      <c r="A84" s="35">
        <f>'FOUND DATA'!W87</f>
        <v>0</v>
      </c>
      <c r="B84" s="35">
        <f>'FOUND DATA'!X87</f>
        <v>0</v>
      </c>
      <c r="C84" s="35">
        <f>'FOUND DATA'!Y87</f>
        <v>100</v>
      </c>
    </row>
    <row r="85">
      <c r="A85" s="35">
        <f>'FOUND DATA'!W88</f>
        <v>0</v>
      </c>
      <c r="B85" s="35">
        <f>'FOUND DATA'!X88</f>
        <v>0</v>
      </c>
      <c r="C85" s="35">
        <f>'FOUND DATA'!Y88</f>
        <v>100</v>
      </c>
    </row>
    <row r="86">
      <c r="A86" s="35">
        <f>'FOUND DATA'!W89</f>
        <v>0</v>
      </c>
      <c r="B86" s="35">
        <f>'FOUND DATA'!X89</f>
        <v>6.67</v>
      </c>
      <c r="C86" s="35">
        <f>'FOUND DATA'!Y89</f>
        <v>93.33</v>
      </c>
    </row>
    <row r="87">
      <c r="A87" s="35">
        <f>'FOUND DATA'!W90</f>
        <v>0</v>
      </c>
      <c r="B87" s="35">
        <f>'FOUND DATA'!X90</f>
        <v>7.14</v>
      </c>
      <c r="C87" s="35">
        <f>'FOUND DATA'!Y90</f>
        <v>92.86</v>
      </c>
    </row>
    <row r="88">
      <c r="A88" s="35">
        <f>'FOUND DATA'!W91</f>
        <v>0.6</v>
      </c>
      <c r="B88" s="35">
        <f>'FOUND DATA'!X91</f>
        <v>7.78</v>
      </c>
      <c r="C88" s="35">
        <f>'FOUND DATA'!Y91</f>
        <v>91.62</v>
      </c>
    </row>
    <row r="89">
      <c r="A89" s="35">
        <f>'FOUND DATA'!W92</f>
        <v>1.49</v>
      </c>
      <c r="B89" s="35">
        <f>'FOUND DATA'!X92</f>
        <v>1.5</v>
      </c>
      <c r="C89" s="35">
        <f>'FOUND DATA'!Y92</f>
        <v>97.01</v>
      </c>
    </row>
    <row r="90">
      <c r="A90" s="35">
        <f>'FOUND DATA'!W93</f>
        <v>2.48</v>
      </c>
      <c r="B90" s="35">
        <f>'FOUND DATA'!X93</f>
        <v>4.13</v>
      </c>
      <c r="C90" s="35">
        <f>'FOUND DATA'!Y93</f>
        <v>93.39</v>
      </c>
    </row>
    <row r="91">
      <c r="A91" s="35">
        <f>'FOUND DATA'!W94</f>
        <v>7.7</v>
      </c>
      <c r="B91" s="35">
        <f>'FOUND DATA'!X94</f>
        <v>0</v>
      </c>
      <c r="C91" s="35">
        <f>'FOUND DATA'!Y94</f>
        <v>92.3</v>
      </c>
    </row>
    <row r="92">
      <c r="A92" s="35">
        <f>'FOUND DATA'!W95</f>
        <v>8.77</v>
      </c>
      <c r="B92" s="35">
        <f>'FOUND DATA'!X95</f>
        <v>18.42</v>
      </c>
      <c r="C92" s="35">
        <f>'FOUND DATA'!Y95</f>
        <v>72.81</v>
      </c>
    </row>
    <row r="93">
      <c r="A93" s="35">
        <f>'FOUND DATA'!W96</f>
        <v>3.36</v>
      </c>
      <c r="B93" s="35">
        <f>'FOUND DATA'!X96</f>
        <v>33.62</v>
      </c>
      <c r="C93" s="35">
        <f>'FOUND DATA'!Y96</f>
        <v>63.02</v>
      </c>
    </row>
    <row r="94">
      <c r="A94" s="35">
        <f>'FOUND DATA'!W97</f>
        <v>0</v>
      </c>
      <c r="B94" s="35">
        <f>'FOUND DATA'!X97</f>
        <v>9.37</v>
      </c>
      <c r="C94" s="35">
        <f>'FOUND DATA'!Y97</f>
        <v>90.63</v>
      </c>
    </row>
    <row r="95">
      <c r="A95" s="35">
        <f>'FOUND DATA'!W98</f>
        <v>1.03</v>
      </c>
      <c r="B95" s="35">
        <f>'FOUND DATA'!X98</f>
        <v>40.21</v>
      </c>
      <c r="C95" s="35">
        <f>'FOUND DATA'!Y98</f>
        <v>58.76</v>
      </c>
    </row>
    <row r="96">
      <c r="A96" s="35">
        <f>'FOUND DATA'!W99</f>
        <v>0.86</v>
      </c>
      <c r="B96" s="35">
        <f>'FOUND DATA'!X99</f>
        <v>4.31</v>
      </c>
      <c r="C96" s="35">
        <f>'FOUND DATA'!Y99</f>
        <v>94.83</v>
      </c>
    </row>
    <row r="97">
      <c r="A97" s="35">
        <f>'FOUND DATA'!W100</f>
        <v>1.85</v>
      </c>
      <c r="B97" s="35">
        <f>'FOUND DATA'!X100</f>
        <v>3.7</v>
      </c>
      <c r="C97" s="35">
        <f>'FOUND DATA'!Y100</f>
        <v>94.45</v>
      </c>
    </row>
    <row r="98">
      <c r="A98" s="35">
        <f>'FOUND DATA'!W101</f>
        <v>4.29</v>
      </c>
      <c r="B98" s="35">
        <f>'FOUND DATA'!X101</f>
        <v>40</v>
      </c>
      <c r="C98" s="35">
        <f>'FOUND DATA'!Y101</f>
        <v>55.71</v>
      </c>
    </row>
    <row r="99">
      <c r="A99" s="35">
        <f>'FOUND DATA'!W102</f>
        <v>2.63</v>
      </c>
      <c r="B99" s="35">
        <f>'FOUND DATA'!X102</f>
        <v>25</v>
      </c>
      <c r="C99" s="35">
        <f>'FOUND DATA'!Y102</f>
        <v>72.37</v>
      </c>
    </row>
    <row r="100">
      <c r="A100" s="35">
        <f>'FOUND DATA'!W103</f>
        <v>8.22</v>
      </c>
      <c r="B100" s="35">
        <f>'FOUND DATA'!X103</f>
        <v>24.65</v>
      </c>
      <c r="C100" s="35">
        <f>'FOUND DATA'!Y103</f>
        <v>67.13</v>
      </c>
    </row>
    <row r="101">
      <c r="A101" s="35">
        <f>'FOUND DATA'!W104</f>
        <v>4.2</v>
      </c>
      <c r="B101" s="35">
        <f>'FOUND DATA'!X104</f>
        <v>6.6</v>
      </c>
      <c r="C101" s="35">
        <f>'FOUND DATA'!Y104</f>
        <v>89.2</v>
      </c>
    </row>
    <row r="102">
      <c r="A102" s="35">
        <f>'FOUND DATA'!W105</f>
        <v>15.86</v>
      </c>
      <c r="B102" s="35">
        <f>'FOUND DATA'!X105</f>
        <v>13.58</v>
      </c>
      <c r="C102" s="35">
        <f>'FOUND DATA'!Y105</f>
        <v>70.56</v>
      </c>
    </row>
    <row r="103">
      <c r="A103" s="35">
        <f>'FOUND DATA'!W106</f>
        <v>10.8</v>
      </c>
      <c r="B103" s="35">
        <f>'FOUND DATA'!X106</f>
        <v>14.4</v>
      </c>
      <c r="C103" s="35">
        <f>'FOUND DATA'!Y106</f>
        <v>74.8</v>
      </c>
    </row>
    <row r="104">
      <c r="A104" s="35">
        <f>'FOUND DATA'!W107</f>
        <v>6.94</v>
      </c>
      <c r="B104" s="35">
        <f>'FOUND DATA'!X107</f>
        <v>13.82</v>
      </c>
      <c r="C104" s="35">
        <f>'FOUND DATA'!Y107</f>
        <v>79.24</v>
      </c>
    </row>
    <row r="105">
      <c r="A105" s="36" t="str">
        <f>'FOUND DATA'!W108</f>
        <v>END</v>
      </c>
      <c r="B105" s="35" t="str">
        <f>'FOUND DATA'!X108</f>
        <v>END</v>
      </c>
      <c r="C105" s="36" t="str">
        <f>'FOUND DATA'!Y108</f>
        <v>END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DATA'!Z4</f>
        <v>F</v>
      </c>
      <c r="B1" s="36" t="str">
        <f>'FOUND DATA'!AA4</f>
        <v>D</v>
      </c>
      <c r="C1" s="36" t="str">
        <f>'FOUND DATA'!AB4</f>
        <v>C</v>
      </c>
      <c r="D1" s="36" t="str">
        <f>'FOUND DATA'!AC4</f>
        <v>B</v>
      </c>
      <c r="E1" s="36" t="str">
        <f>'FOUND DATA'!AD4</f>
        <v>A</v>
      </c>
    </row>
    <row r="2">
      <c r="A2" s="36">
        <f>'FOUND DATA'!Z5</f>
        <v>1</v>
      </c>
      <c r="B2" s="36">
        <f>'FOUND DATA'!AA5</f>
        <v>2</v>
      </c>
      <c r="C2" s="36">
        <f>'FOUND DATA'!AB5</f>
        <v>3</v>
      </c>
      <c r="D2" s="36">
        <f>'FOUND DATA'!AC5</f>
        <v>4</v>
      </c>
      <c r="E2" s="36">
        <f>'FOUND DATA'!AD5</f>
        <v>5</v>
      </c>
    </row>
    <row r="3">
      <c r="A3" s="36">
        <f>'FOUND DATA'!Z6</f>
        <v>1</v>
      </c>
      <c r="B3" s="36">
        <f>'FOUND DATA'!AA6</f>
        <v>2</v>
      </c>
      <c r="C3" s="36">
        <f>'FOUND DATA'!AB6</f>
        <v>3</v>
      </c>
      <c r="D3" s="36">
        <f>'FOUND DATA'!AC6</f>
        <v>5</v>
      </c>
      <c r="E3" s="36">
        <f>'FOUND DATA'!AD6</f>
        <v>4</v>
      </c>
    </row>
    <row r="4">
      <c r="A4" s="36">
        <f>'FOUND DATA'!Z7</f>
        <v>1</v>
      </c>
      <c r="B4" s="36">
        <f>'FOUND DATA'!AA7</f>
        <v>2</v>
      </c>
      <c r="C4" s="36">
        <f>'FOUND DATA'!AB7</f>
        <v>3</v>
      </c>
      <c r="D4" s="36">
        <f>'FOUND DATA'!AC7</f>
        <v>5</v>
      </c>
      <c r="E4" s="36">
        <f>'FOUND DATA'!AD7</f>
        <v>4</v>
      </c>
    </row>
    <row r="5">
      <c r="A5" s="36">
        <f>'FOUND DATA'!Z8</f>
        <v>1</v>
      </c>
      <c r="B5" s="36">
        <f>'FOUND DATA'!AA8</f>
        <v>2</v>
      </c>
      <c r="C5" s="36">
        <f>'FOUND DATA'!AB8</f>
        <v>3</v>
      </c>
      <c r="D5" s="36">
        <f>'FOUND DATA'!AC8</f>
        <v>5</v>
      </c>
      <c r="E5" s="36">
        <f>'FOUND DATA'!AD8</f>
        <v>4</v>
      </c>
    </row>
    <row r="6">
      <c r="A6" s="36">
        <f>'FOUND DATA'!Z9</f>
        <v>2</v>
      </c>
      <c r="B6" s="36">
        <f>'FOUND DATA'!AA9</f>
        <v>1</v>
      </c>
      <c r="C6" s="36">
        <f>'FOUND DATA'!AB9</f>
        <v>4</v>
      </c>
      <c r="D6" s="36">
        <f>'FOUND DATA'!AC9</f>
        <v>5</v>
      </c>
      <c r="E6" s="36">
        <f>'FOUND DATA'!AD9</f>
        <v>3</v>
      </c>
    </row>
    <row r="7">
      <c r="A7" s="36">
        <f>'FOUND DATA'!Z10</f>
        <v>2</v>
      </c>
      <c r="B7" s="36">
        <f>'FOUND DATA'!AA10</f>
        <v>1</v>
      </c>
      <c r="C7" s="36">
        <f>'FOUND DATA'!AB10</f>
        <v>3</v>
      </c>
      <c r="D7" s="36">
        <f>'FOUND DATA'!AC10</f>
        <v>5</v>
      </c>
      <c r="E7" s="36">
        <f>'FOUND DATA'!AD10</f>
        <v>4</v>
      </c>
    </row>
    <row r="8">
      <c r="A8" s="36">
        <f>'FOUND DATA'!Z11</f>
        <v>1</v>
      </c>
      <c r="B8" s="36">
        <f>'FOUND DATA'!AA11</f>
        <v>2</v>
      </c>
      <c r="C8" s="36">
        <f>'FOUND DATA'!AB11</f>
        <v>3</v>
      </c>
      <c r="D8" s="36">
        <f>'FOUND DATA'!AC11</f>
        <v>5</v>
      </c>
      <c r="E8" s="36">
        <f>'FOUND DATA'!AD11</f>
        <v>4</v>
      </c>
    </row>
    <row r="9">
      <c r="A9" s="36">
        <f>'FOUND DATA'!Z12</f>
        <v>2</v>
      </c>
      <c r="B9" s="36">
        <f>'FOUND DATA'!AA12</f>
        <v>1</v>
      </c>
      <c r="C9" s="36">
        <f>'FOUND DATA'!AB12</f>
        <v>3</v>
      </c>
      <c r="D9" s="36">
        <f>'FOUND DATA'!AC12</f>
        <v>5</v>
      </c>
      <c r="E9" s="36">
        <f>'FOUND DATA'!AD12</f>
        <v>4</v>
      </c>
    </row>
    <row r="10">
      <c r="A10" s="36">
        <f>'FOUND DATA'!Z13</f>
        <v>1</v>
      </c>
      <c r="B10" s="36">
        <f>'FOUND DATA'!AA13</f>
        <v>1</v>
      </c>
      <c r="C10" s="36">
        <f>'FOUND DATA'!AB13</f>
        <v>3</v>
      </c>
      <c r="D10" s="36">
        <f>'FOUND DATA'!AC13</f>
        <v>4</v>
      </c>
      <c r="E10" s="36">
        <f>'FOUND DATA'!AD13</f>
        <v>5</v>
      </c>
    </row>
    <row r="11">
      <c r="A11" s="36">
        <f>'FOUND DATA'!Z14</f>
        <v>2</v>
      </c>
      <c r="B11" s="36">
        <f>'FOUND DATA'!AA14</f>
        <v>1</v>
      </c>
      <c r="C11" s="36">
        <f>'FOUND DATA'!AB14</f>
        <v>3</v>
      </c>
      <c r="D11" s="36">
        <f>'FOUND DATA'!AC14</f>
        <v>4</v>
      </c>
      <c r="E11" s="36">
        <f>'FOUND DATA'!AD14</f>
        <v>5</v>
      </c>
    </row>
    <row r="12">
      <c r="A12" s="36">
        <f>'FOUND DATA'!Z15</f>
        <v>2</v>
      </c>
      <c r="B12" s="36">
        <f>'FOUND DATA'!AA15</f>
        <v>1</v>
      </c>
      <c r="C12" s="36">
        <f>'FOUND DATA'!AB15</f>
        <v>3</v>
      </c>
      <c r="D12" s="36">
        <f>'FOUND DATA'!AC15</f>
        <v>5</v>
      </c>
      <c r="E12" s="36">
        <f>'FOUND DATA'!AD15</f>
        <v>4</v>
      </c>
    </row>
    <row r="13">
      <c r="A13" s="36">
        <f>'FOUND DATA'!Z16</f>
        <v>2</v>
      </c>
      <c r="B13" s="36">
        <f>'FOUND DATA'!AA16</f>
        <v>1</v>
      </c>
      <c r="C13" s="36">
        <f>'FOUND DATA'!AB16</f>
        <v>3</v>
      </c>
      <c r="D13" s="36">
        <f>'FOUND DATA'!AC16</f>
        <v>4</v>
      </c>
      <c r="E13" s="36">
        <f>'FOUND DATA'!AD16</f>
        <v>4</v>
      </c>
    </row>
    <row r="14">
      <c r="A14" s="36">
        <f>'FOUND DATA'!Z17</f>
        <v>2</v>
      </c>
      <c r="B14" s="36">
        <f>'FOUND DATA'!AA17</f>
        <v>1</v>
      </c>
      <c r="C14" s="36">
        <f>'FOUND DATA'!AB17</f>
        <v>3</v>
      </c>
      <c r="D14" s="36">
        <f>'FOUND DATA'!AC17</f>
        <v>4</v>
      </c>
      <c r="E14" s="36">
        <f>'FOUND DATA'!AD17</f>
        <v>5</v>
      </c>
    </row>
    <row r="15">
      <c r="A15" s="36">
        <f>'FOUND DATA'!Z18</f>
        <v>1</v>
      </c>
      <c r="B15" s="36">
        <f>'FOUND DATA'!AA18</f>
        <v>2</v>
      </c>
      <c r="C15" s="36">
        <f>'FOUND DATA'!AB18</f>
        <v>4</v>
      </c>
      <c r="D15" s="36">
        <f>'FOUND DATA'!AC18</f>
        <v>5</v>
      </c>
      <c r="E15" s="36">
        <f>'FOUND DATA'!AD18</f>
        <v>3</v>
      </c>
    </row>
    <row r="16">
      <c r="A16" s="36">
        <f>'FOUND DATA'!Z19</f>
        <v>2</v>
      </c>
      <c r="B16" s="36">
        <f>'FOUND DATA'!AA19</f>
        <v>1</v>
      </c>
      <c r="C16" s="36">
        <f>'FOUND DATA'!AB19</f>
        <v>3</v>
      </c>
      <c r="D16" s="36">
        <f>'FOUND DATA'!AC19</f>
        <v>3</v>
      </c>
      <c r="E16" s="36">
        <f>'FOUND DATA'!AD19</f>
        <v>5</v>
      </c>
    </row>
    <row r="17">
      <c r="A17" s="36">
        <f>'FOUND DATA'!Z20</f>
        <v>2</v>
      </c>
      <c r="B17" s="36">
        <f>'FOUND DATA'!AA20</f>
        <v>1</v>
      </c>
      <c r="C17" s="36">
        <f>'FOUND DATA'!AB20</f>
        <v>2</v>
      </c>
      <c r="D17" s="36">
        <f>'FOUND DATA'!AC20</f>
        <v>4</v>
      </c>
      <c r="E17" s="36">
        <f>'FOUND DATA'!AD20</f>
        <v>5</v>
      </c>
    </row>
    <row r="18">
      <c r="A18" s="36">
        <f>'FOUND DATA'!Z21</f>
        <v>1</v>
      </c>
      <c r="B18" s="36">
        <f>'FOUND DATA'!AA21</f>
        <v>1</v>
      </c>
      <c r="C18" s="36">
        <f>'FOUND DATA'!AB21</f>
        <v>3</v>
      </c>
      <c r="D18" s="36">
        <f>'FOUND DATA'!AC21</f>
        <v>4</v>
      </c>
      <c r="E18" s="36">
        <f>'FOUND DATA'!AD21</f>
        <v>5</v>
      </c>
    </row>
    <row r="19">
      <c r="A19" s="36">
        <f>'FOUND DATA'!Z22</f>
        <v>1</v>
      </c>
      <c r="B19" s="36">
        <f>'FOUND DATA'!AA22</f>
        <v>1</v>
      </c>
      <c r="C19" s="36">
        <f>'FOUND DATA'!AB22</f>
        <v>1</v>
      </c>
      <c r="D19" s="36">
        <f>'FOUND DATA'!AC22</f>
        <v>4</v>
      </c>
      <c r="E19" s="36">
        <f>'FOUND DATA'!AD22</f>
        <v>5</v>
      </c>
    </row>
    <row r="20">
      <c r="A20" s="36">
        <f>'FOUND DATA'!Z23</f>
        <v>1</v>
      </c>
      <c r="B20" s="36">
        <f>'FOUND DATA'!AA23</f>
        <v>1</v>
      </c>
      <c r="C20" s="36">
        <f>'FOUND DATA'!AB23</f>
        <v>1</v>
      </c>
      <c r="D20" s="36">
        <f>'FOUND DATA'!AC23</f>
        <v>5</v>
      </c>
      <c r="E20" s="36">
        <f>'FOUND DATA'!AD23</f>
        <v>4</v>
      </c>
    </row>
    <row r="21">
      <c r="A21" s="36">
        <f>'FOUND DATA'!Z24</f>
        <v>1</v>
      </c>
      <c r="B21" s="36">
        <f>'FOUND DATA'!AA24</f>
        <v>1</v>
      </c>
      <c r="C21" s="36">
        <f>'FOUND DATA'!AB24</f>
        <v>1</v>
      </c>
      <c r="D21" s="36">
        <f>'FOUND DATA'!AC24</f>
        <v>4</v>
      </c>
      <c r="E21" s="36">
        <f>'FOUND DATA'!AD24</f>
        <v>5</v>
      </c>
    </row>
    <row r="22">
      <c r="A22" s="36">
        <f>'FOUND DATA'!Z25</f>
        <v>2</v>
      </c>
      <c r="B22" s="36">
        <f>'FOUND DATA'!AA25</f>
        <v>1</v>
      </c>
      <c r="C22" s="36">
        <f>'FOUND DATA'!AB25</f>
        <v>3</v>
      </c>
      <c r="D22" s="36">
        <f>'FOUND DATA'!AC25</f>
        <v>4</v>
      </c>
      <c r="E22" s="36">
        <f>'FOUND DATA'!AD25</f>
        <v>5</v>
      </c>
    </row>
    <row r="23">
      <c r="A23" s="36">
        <f>'FOUND DATA'!Z26</f>
        <v>1</v>
      </c>
      <c r="B23" s="36">
        <f>'FOUND DATA'!AA26</f>
        <v>1</v>
      </c>
      <c r="C23" s="36">
        <f>'FOUND DATA'!AB26</f>
        <v>3</v>
      </c>
      <c r="D23" s="36">
        <f>'FOUND DATA'!AC26</f>
        <v>4</v>
      </c>
      <c r="E23" s="36">
        <f>'FOUND DATA'!AD26</f>
        <v>5</v>
      </c>
    </row>
    <row r="24">
      <c r="A24" s="36">
        <f>'FOUND DATA'!Z27</f>
        <v>1</v>
      </c>
      <c r="B24" s="36">
        <f>'FOUND DATA'!AA27</f>
        <v>1</v>
      </c>
      <c r="C24" s="36">
        <f>'FOUND DATA'!AB27</f>
        <v>3</v>
      </c>
      <c r="D24" s="36">
        <f>'FOUND DATA'!AC27</f>
        <v>4</v>
      </c>
      <c r="E24" s="36">
        <f>'FOUND DATA'!AD27</f>
        <v>5</v>
      </c>
    </row>
    <row r="25">
      <c r="A25" s="36">
        <f>'FOUND DATA'!Z28</f>
        <v>1</v>
      </c>
      <c r="B25" s="36">
        <f>'FOUND DATA'!AA28</f>
        <v>1</v>
      </c>
      <c r="C25" s="36">
        <f>'FOUND DATA'!AB28</f>
        <v>4</v>
      </c>
      <c r="D25" s="36">
        <f>'FOUND DATA'!AC28</f>
        <v>5</v>
      </c>
      <c r="E25" s="36">
        <f>'FOUND DATA'!AD28</f>
        <v>3</v>
      </c>
    </row>
    <row r="26">
      <c r="A26" s="36">
        <f>'FOUND DATA'!Z29</f>
        <v>2</v>
      </c>
      <c r="B26" s="36">
        <f>'FOUND DATA'!AA29</f>
        <v>1</v>
      </c>
      <c r="C26" s="36">
        <f>'FOUND DATA'!AB29</f>
        <v>3</v>
      </c>
      <c r="D26" s="36">
        <f>'FOUND DATA'!AC29</f>
        <v>4</v>
      </c>
      <c r="E26" s="36">
        <f>'FOUND DATA'!AD29</f>
        <v>5</v>
      </c>
    </row>
    <row r="27">
      <c r="A27" s="36">
        <f>'FOUND DATA'!Z30</f>
        <v>2</v>
      </c>
      <c r="B27" s="36">
        <f>'FOUND DATA'!AA30</f>
        <v>1</v>
      </c>
      <c r="C27" s="36">
        <f>'FOUND DATA'!AB30</f>
        <v>3</v>
      </c>
      <c r="D27" s="36">
        <f>'FOUND DATA'!AC30</f>
        <v>5</v>
      </c>
      <c r="E27" s="36">
        <f>'FOUND DATA'!AD30</f>
        <v>4</v>
      </c>
    </row>
    <row r="28">
      <c r="A28" s="36">
        <f>'FOUND DATA'!Z31</f>
        <v>1</v>
      </c>
      <c r="B28" s="36">
        <f>'FOUND DATA'!AA31</f>
        <v>2</v>
      </c>
      <c r="C28" s="36">
        <f>'FOUND DATA'!AB31</f>
        <v>5</v>
      </c>
      <c r="D28" s="36">
        <f>'FOUND DATA'!AC31</f>
        <v>4</v>
      </c>
      <c r="E28" s="36">
        <f>'FOUND DATA'!AD31</f>
        <v>3</v>
      </c>
    </row>
    <row r="29">
      <c r="A29" s="36">
        <f>'FOUND DATA'!Z32</f>
        <v>1</v>
      </c>
      <c r="B29" s="36">
        <f>'FOUND DATA'!AA32</f>
        <v>2</v>
      </c>
      <c r="C29" s="36">
        <f>'FOUND DATA'!AB32</f>
        <v>3</v>
      </c>
      <c r="D29" s="36">
        <f>'FOUND DATA'!AC32</f>
        <v>5</v>
      </c>
      <c r="E29" s="36">
        <f>'FOUND DATA'!AD32</f>
        <v>4</v>
      </c>
    </row>
    <row r="30">
      <c r="A30" s="36">
        <f>'FOUND DATA'!Z33</f>
        <v>1</v>
      </c>
      <c r="B30" s="36">
        <f>'FOUND DATA'!AA33</f>
        <v>2</v>
      </c>
      <c r="C30" s="36">
        <f>'FOUND DATA'!AB33</f>
        <v>4</v>
      </c>
      <c r="D30" s="36">
        <f>'FOUND DATA'!AC33</f>
        <v>5</v>
      </c>
      <c r="E30" s="36">
        <f>'FOUND DATA'!AD33</f>
        <v>3</v>
      </c>
    </row>
    <row r="31">
      <c r="A31" s="36">
        <f>'FOUND DATA'!Z34</f>
        <v>1</v>
      </c>
      <c r="B31" s="36">
        <f>'FOUND DATA'!AA34</f>
        <v>1</v>
      </c>
      <c r="C31" s="36">
        <f>'FOUND DATA'!AB34</f>
        <v>3</v>
      </c>
      <c r="D31" s="36">
        <f>'FOUND DATA'!AC34</f>
        <v>4</v>
      </c>
      <c r="E31" s="36">
        <f>'FOUND DATA'!AD34</f>
        <v>5</v>
      </c>
    </row>
    <row r="32">
      <c r="A32" s="36">
        <f>'FOUND DATA'!Z35</f>
        <v>1</v>
      </c>
      <c r="B32" s="36">
        <f>'FOUND DATA'!AA35</f>
        <v>3</v>
      </c>
      <c r="C32" s="36">
        <f>'FOUND DATA'!AB35</f>
        <v>2</v>
      </c>
      <c r="D32" s="36">
        <f>'FOUND DATA'!AC35</f>
        <v>4</v>
      </c>
      <c r="E32" s="36">
        <f>'FOUND DATA'!AD35</f>
        <v>5</v>
      </c>
    </row>
    <row r="33">
      <c r="A33" s="36">
        <f>'FOUND DATA'!Z36</f>
        <v>1</v>
      </c>
      <c r="B33" s="36">
        <f>'FOUND DATA'!AA36</f>
        <v>1</v>
      </c>
      <c r="C33" s="36">
        <f>'FOUND DATA'!AB36</f>
        <v>3</v>
      </c>
      <c r="D33" s="36">
        <f>'FOUND DATA'!AC36</f>
        <v>4</v>
      </c>
      <c r="E33" s="36">
        <f>'FOUND DATA'!AD36</f>
        <v>5</v>
      </c>
    </row>
    <row r="34">
      <c r="A34" s="36">
        <f>'FOUND DATA'!Z37</f>
        <v>1</v>
      </c>
      <c r="B34" s="36">
        <f>'FOUND DATA'!AA37</f>
        <v>3</v>
      </c>
      <c r="C34" s="36">
        <f>'FOUND DATA'!AB37</f>
        <v>1</v>
      </c>
      <c r="D34" s="36">
        <f>'FOUND DATA'!AC37</f>
        <v>4</v>
      </c>
      <c r="E34" s="36">
        <f>'FOUND DATA'!AD37</f>
        <v>5</v>
      </c>
    </row>
    <row r="35">
      <c r="A35" s="36">
        <f>'FOUND DATA'!Z38</f>
        <v>2</v>
      </c>
      <c r="B35" s="36">
        <f>'FOUND DATA'!AA38</f>
        <v>1</v>
      </c>
      <c r="C35" s="36">
        <f>'FOUND DATA'!AB38</f>
        <v>3</v>
      </c>
      <c r="D35" s="36">
        <f>'FOUND DATA'!AC38</f>
        <v>4</v>
      </c>
      <c r="E35" s="36">
        <f>'FOUND DATA'!AD38</f>
        <v>5</v>
      </c>
    </row>
    <row r="36">
      <c r="A36" s="36">
        <f>'FOUND DATA'!Z39</f>
        <v>2</v>
      </c>
      <c r="B36" s="36">
        <f>'FOUND DATA'!AA39</f>
        <v>1</v>
      </c>
      <c r="C36" s="36">
        <f>'FOUND DATA'!AB39</f>
        <v>2</v>
      </c>
      <c r="D36" s="36">
        <f>'FOUND DATA'!AC39</f>
        <v>4</v>
      </c>
      <c r="E36" s="36">
        <f>'FOUND DATA'!AD39</f>
        <v>5</v>
      </c>
    </row>
    <row r="37">
      <c r="A37" s="36">
        <f>'FOUND DATA'!Z40</f>
        <v>1</v>
      </c>
      <c r="B37" s="36">
        <f>'FOUND DATA'!AA40</f>
        <v>1</v>
      </c>
      <c r="C37" s="36">
        <f>'FOUND DATA'!AB40</f>
        <v>3</v>
      </c>
      <c r="D37" s="36">
        <f>'FOUND DATA'!AC40</f>
        <v>4</v>
      </c>
      <c r="E37" s="36">
        <f>'FOUND DATA'!AD40</f>
        <v>5</v>
      </c>
    </row>
    <row r="38">
      <c r="A38" s="36">
        <f>'FOUND DATA'!Z41</f>
        <v>2</v>
      </c>
      <c r="B38" s="36">
        <f>'FOUND DATA'!AA41</f>
        <v>1</v>
      </c>
      <c r="C38" s="36">
        <f>'FOUND DATA'!AB41</f>
        <v>3</v>
      </c>
      <c r="D38" s="36">
        <f>'FOUND DATA'!AC41</f>
        <v>4</v>
      </c>
      <c r="E38" s="36">
        <f>'FOUND DATA'!AD41</f>
        <v>5</v>
      </c>
    </row>
    <row r="39">
      <c r="A39" s="36">
        <f>'FOUND DATA'!Z42</f>
        <v>2</v>
      </c>
      <c r="B39" s="36">
        <f>'FOUND DATA'!AA42</f>
        <v>1</v>
      </c>
      <c r="C39" s="36">
        <f>'FOUND DATA'!AB42</f>
        <v>3</v>
      </c>
      <c r="D39" s="36">
        <f>'FOUND DATA'!AC42</f>
        <v>4</v>
      </c>
      <c r="E39" s="36">
        <f>'FOUND DATA'!AD42</f>
        <v>5</v>
      </c>
    </row>
    <row r="40">
      <c r="A40" s="36">
        <f>'FOUND DATA'!Z43</f>
        <v>1</v>
      </c>
      <c r="B40" s="36">
        <f>'FOUND DATA'!AA43</f>
        <v>2</v>
      </c>
      <c r="C40" s="36">
        <f>'FOUND DATA'!AB43</f>
        <v>3</v>
      </c>
      <c r="D40" s="36">
        <f>'FOUND DATA'!AC43</f>
        <v>4</v>
      </c>
      <c r="E40" s="36">
        <f>'FOUND DATA'!AD43</f>
        <v>5</v>
      </c>
    </row>
    <row r="41">
      <c r="A41" s="36">
        <f>'FOUND DATA'!Z44</f>
        <v>1</v>
      </c>
      <c r="B41" s="36">
        <f>'FOUND DATA'!AA44</f>
        <v>1</v>
      </c>
      <c r="C41" s="36">
        <f>'FOUND DATA'!AB44</f>
        <v>3</v>
      </c>
      <c r="D41" s="36">
        <f>'FOUND DATA'!AC44</f>
        <v>4</v>
      </c>
      <c r="E41" s="36">
        <f>'FOUND DATA'!AD44</f>
        <v>5</v>
      </c>
    </row>
    <row r="42">
      <c r="A42" s="36">
        <f>'FOUND DATA'!Z45</f>
        <v>1</v>
      </c>
      <c r="B42" s="36">
        <f>'FOUND DATA'!AA45</f>
        <v>2</v>
      </c>
      <c r="C42" s="36">
        <f>'FOUND DATA'!AB45</f>
        <v>3</v>
      </c>
      <c r="D42" s="36">
        <f>'FOUND DATA'!AC45</f>
        <v>4</v>
      </c>
      <c r="E42" s="36">
        <f>'FOUND DATA'!AD45</f>
        <v>5</v>
      </c>
    </row>
    <row r="43">
      <c r="A43" s="36">
        <f>'FOUND DATA'!Z46</f>
        <v>1</v>
      </c>
      <c r="B43" s="36">
        <f>'FOUND DATA'!AA46</f>
        <v>1</v>
      </c>
      <c r="C43" s="36">
        <f>'FOUND DATA'!AB46</f>
        <v>1</v>
      </c>
      <c r="D43" s="36">
        <f>'FOUND DATA'!AC46</f>
        <v>4</v>
      </c>
      <c r="E43" s="36">
        <f>'FOUND DATA'!AD46</f>
        <v>5</v>
      </c>
    </row>
    <row r="44">
      <c r="A44" s="36">
        <f>'FOUND DATA'!Z47</f>
        <v>1</v>
      </c>
      <c r="B44" s="36">
        <f>'FOUND DATA'!AA47</f>
        <v>1</v>
      </c>
      <c r="C44" s="36">
        <f>'FOUND DATA'!AB47</f>
        <v>3</v>
      </c>
      <c r="D44" s="36">
        <f>'FOUND DATA'!AC47</f>
        <v>3</v>
      </c>
      <c r="E44" s="36">
        <f>'FOUND DATA'!AD47</f>
        <v>5</v>
      </c>
    </row>
    <row r="45">
      <c r="A45" s="36">
        <f>'FOUND DATA'!Z48</f>
        <v>1</v>
      </c>
      <c r="B45" s="36">
        <f>'FOUND DATA'!AA48</f>
        <v>1</v>
      </c>
      <c r="C45" s="36">
        <f>'FOUND DATA'!AB48</f>
        <v>3</v>
      </c>
      <c r="D45" s="36">
        <f>'FOUND DATA'!AC48</f>
        <v>4</v>
      </c>
      <c r="E45" s="36">
        <f>'FOUND DATA'!AD48</f>
        <v>5</v>
      </c>
    </row>
    <row r="46">
      <c r="A46" s="36">
        <f>'FOUND DATA'!Z49</f>
        <v>1</v>
      </c>
      <c r="B46" s="36">
        <f>'FOUND DATA'!AA49</f>
        <v>2</v>
      </c>
      <c r="C46" s="36">
        <f>'FOUND DATA'!AB49</f>
        <v>4</v>
      </c>
      <c r="D46" s="36">
        <f>'FOUND DATA'!AC49</f>
        <v>2</v>
      </c>
      <c r="E46" s="36">
        <f>'FOUND DATA'!AD49</f>
        <v>5</v>
      </c>
    </row>
    <row r="47">
      <c r="A47" s="36">
        <f>'FOUND DATA'!Z50</f>
        <v>2</v>
      </c>
      <c r="B47" s="36">
        <f>'FOUND DATA'!AA50</f>
        <v>1</v>
      </c>
      <c r="C47" s="36">
        <f>'FOUND DATA'!AB50</f>
        <v>3</v>
      </c>
      <c r="D47" s="36">
        <f>'FOUND DATA'!AC50</f>
        <v>5</v>
      </c>
      <c r="E47" s="36">
        <f>'FOUND DATA'!AD50</f>
        <v>3</v>
      </c>
    </row>
    <row r="48">
      <c r="A48" s="36">
        <f>'FOUND DATA'!Z51</f>
        <v>1</v>
      </c>
      <c r="B48" s="36">
        <f>'FOUND DATA'!AA51</f>
        <v>1</v>
      </c>
      <c r="C48" s="36">
        <f>'FOUND DATA'!AB51</f>
        <v>3</v>
      </c>
      <c r="D48" s="36">
        <f>'FOUND DATA'!AC51</f>
        <v>4</v>
      </c>
      <c r="E48" s="36">
        <f>'FOUND DATA'!AD51</f>
        <v>5</v>
      </c>
    </row>
    <row r="49">
      <c r="A49" s="36">
        <f>'FOUND DATA'!Z52</f>
        <v>1</v>
      </c>
      <c r="B49" s="36">
        <f>'FOUND DATA'!AA52</f>
        <v>2</v>
      </c>
      <c r="C49" s="36">
        <f>'FOUND DATA'!AB52</f>
        <v>5</v>
      </c>
      <c r="D49" s="36">
        <f>'FOUND DATA'!AC52</f>
        <v>3</v>
      </c>
      <c r="E49" s="36">
        <f>'FOUND DATA'!AD52</f>
        <v>4</v>
      </c>
    </row>
    <row r="50">
      <c r="A50" s="36">
        <f>'FOUND DATA'!Z53</f>
        <v>1</v>
      </c>
      <c r="B50" s="36">
        <f>'FOUND DATA'!AA53</f>
        <v>2</v>
      </c>
      <c r="C50" s="36">
        <f>'FOUND DATA'!AB53</f>
        <v>3</v>
      </c>
      <c r="D50" s="36">
        <f>'FOUND DATA'!AC53</f>
        <v>4</v>
      </c>
      <c r="E50" s="36">
        <f>'FOUND DATA'!AD53</f>
        <v>5</v>
      </c>
    </row>
    <row r="51">
      <c r="A51" s="36">
        <f>'FOUND DATA'!Z54</f>
        <v>1</v>
      </c>
      <c r="B51" s="36">
        <f>'FOUND DATA'!AA54</f>
        <v>1</v>
      </c>
      <c r="C51" s="36">
        <f>'FOUND DATA'!AB54</f>
        <v>3</v>
      </c>
      <c r="D51" s="36">
        <f>'FOUND DATA'!AC54</f>
        <v>4</v>
      </c>
      <c r="E51" s="36">
        <f>'FOUND DATA'!AD54</f>
        <v>5</v>
      </c>
    </row>
    <row r="52">
      <c r="A52" s="36">
        <f>'FOUND DATA'!Z55</f>
        <v>1</v>
      </c>
      <c r="B52" s="36">
        <f>'FOUND DATA'!AA55</f>
        <v>1</v>
      </c>
      <c r="C52" s="36">
        <f>'FOUND DATA'!AB55</f>
        <v>1</v>
      </c>
      <c r="D52" s="36">
        <f>'FOUND DATA'!AC55</f>
        <v>4</v>
      </c>
      <c r="E52" s="36">
        <f>'FOUND DATA'!AD55</f>
        <v>5</v>
      </c>
    </row>
    <row r="53">
      <c r="A53" s="36">
        <f>'FOUND DATA'!Z56</f>
        <v>2</v>
      </c>
      <c r="B53" s="36">
        <f>'FOUND DATA'!AA56</f>
        <v>1</v>
      </c>
      <c r="C53" s="36">
        <f>'FOUND DATA'!AB56</f>
        <v>3</v>
      </c>
      <c r="D53" s="36">
        <f>'FOUND DATA'!AC56</f>
        <v>5</v>
      </c>
      <c r="E53" s="36">
        <f>'FOUND DATA'!AD56</f>
        <v>4</v>
      </c>
    </row>
    <row r="54">
      <c r="A54" s="36">
        <f>'FOUND DATA'!Z57</f>
        <v>1</v>
      </c>
      <c r="B54" s="36">
        <f>'FOUND DATA'!AA57</f>
        <v>2</v>
      </c>
      <c r="C54" s="36">
        <f>'FOUND DATA'!AB57</f>
        <v>5</v>
      </c>
      <c r="D54" s="36">
        <f>'FOUND DATA'!AC57</f>
        <v>3</v>
      </c>
      <c r="E54" s="36">
        <f>'FOUND DATA'!AD57</f>
        <v>4</v>
      </c>
    </row>
    <row r="55">
      <c r="A55" s="36">
        <f>'FOUND DATA'!Z58</f>
        <v>1</v>
      </c>
      <c r="B55" s="36">
        <f>'FOUND DATA'!AA58</f>
        <v>1</v>
      </c>
      <c r="C55" s="36">
        <f>'FOUND DATA'!AB58</f>
        <v>4</v>
      </c>
      <c r="D55" s="36">
        <f>'FOUND DATA'!AC58</f>
        <v>5</v>
      </c>
      <c r="E55" s="36">
        <f>'FOUND DATA'!AD58</f>
        <v>3</v>
      </c>
    </row>
    <row r="56">
      <c r="A56" s="36">
        <f>'FOUND DATA'!Z59</f>
        <v>1</v>
      </c>
      <c r="B56" s="36">
        <f>'FOUND DATA'!AA59</f>
        <v>1</v>
      </c>
      <c r="C56" s="36">
        <f>'FOUND DATA'!AB59</f>
        <v>3</v>
      </c>
      <c r="D56" s="36">
        <f>'FOUND DATA'!AC59</f>
        <v>4</v>
      </c>
      <c r="E56" s="36">
        <f>'FOUND DATA'!AD59</f>
        <v>5</v>
      </c>
    </row>
    <row r="57">
      <c r="A57" s="36">
        <f>'FOUND DATA'!Z60</f>
        <v>2</v>
      </c>
      <c r="B57" s="36">
        <f>'FOUND DATA'!AA60</f>
        <v>1</v>
      </c>
      <c r="C57" s="36">
        <f>'FOUND DATA'!AB60</f>
        <v>3</v>
      </c>
      <c r="D57" s="36">
        <f>'FOUND DATA'!AC60</f>
        <v>5</v>
      </c>
      <c r="E57" s="36">
        <f>'FOUND DATA'!AD60</f>
        <v>4</v>
      </c>
    </row>
    <row r="58">
      <c r="A58" s="36">
        <f>'FOUND DATA'!Z61</f>
        <v>1</v>
      </c>
      <c r="B58" s="36">
        <f>'FOUND DATA'!AA61</f>
        <v>2</v>
      </c>
      <c r="C58" s="36">
        <f>'FOUND DATA'!AB61</f>
        <v>3</v>
      </c>
      <c r="D58" s="36">
        <f>'FOUND DATA'!AC61</f>
        <v>4</v>
      </c>
      <c r="E58" s="36">
        <f>'FOUND DATA'!AD61</f>
        <v>5</v>
      </c>
    </row>
    <row r="59">
      <c r="A59" s="36">
        <f>'FOUND DATA'!Z62</f>
        <v>1</v>
      </c>
      <c r="B59" s="36">
        <f>'FOUND DATA'!AA62</f>
        <v>2</v>
      </c>
      <c r="C59" s="36">
        <f>'FOUND DATA'!AB62</f>
        <v>2</v>
      </c>
      <c r="D59" s="36">
        <f>'FOUND DATA'!AC62</f>
        <v>5</v>
      </c>
      <c r="E59" s="36">
        <f>'FOUND DATA'!AD62</f>
        <v>4</v>
      </c>
    </row>
    <row r="60">
      <c r="A60" s="36">
        <f>'FOUND DATA'!Z63</f>
        <v>1</v>
      </c>
      <c r="B60" s="36">
        <f>'FOUND DATA'!AA63</f>
        <v>2</v>
      </c>
      <c r="C60" s="36">
        <f>'FOUND DATA'!AB63</f>
        <v>3</v>
      </c>
      <c r="D60" s="36">
        <f>'FOUND DATA'!AC63</f>
        <v>4</v>
      </c>
      <c r="E60" s="36">
        <f>'FOUND DATA'!AD63</f>
        <v>5</v>
      </c>
    </row>
    <row r="61">
      <c r="A61" s="36">
        <f>'FOUND DATA'!Z64</f>
        <v>1</v>
      </c>
      <c r="B61" s="36">
        <f>'FOUND DATA'!AA64</f>
        <v>1</v>
      </c>
      <c r="C61" s="36">
        <f>'FOUND DATA'!AB64</f>
        <v>3</v>
      </c>
      <c r="D61" s="36">
        <f>'FOUND DATA'!AC64</f>
        <v>5</v>
      </c>
      <c r="E61" s="36">
        <f>'FOUND DATA'!AD64</f>
        <v>4</v>
      </c>
    </row>
    <row r="62">
      <c r="A62" s="36">
        <f>'FOUND DATA'!Z65</f>
        <v>1</v>
      </c>
      <c r="B62" s="36">
        <f>'FOUND DATA'!AA65</f>
        <v>2</v>
      </c>
      <c r="C62" s="36">
        <f>'FOUND DATA'!AB65</f>
        <v>3</v>
      </c>
      <c r="D62" s="36">
        <f>'FOUND DATA'!AC65</f>
        <v>4</v>
      </c>
      <c r="E62" s="36">
        <f>'FOUND DATA'!AD65</f>
        <v>5</v>
      </c>
    </row>
    <row r="63">
      <c r="A63" s="36">
        <f>'FOUND DATA'!Z66</f>
        <v>1</v>
      </c>
      <c r="B63" s="36">
        <f>'FOUND DATA'!AA66</f>
        <v>2</v>
      </c>
      <c r="C63" s="36">
        <f>'FOUND DATA'!AB66</f>
        <v>3</v>
      </c>
      <c r="D63" s="36">
        <f>'FOUND DATA'!AC66</f>
        <v>5</v>
      </c>
      <c r="E63" s="36">
        <f>'FOUND DATA'!AD66</f>
        <v>4</v>
      </c>
    </row>
    <row r="64">
      <c r="A64" s="36">
        <f>'FOUND DATA'!Z67</f>
        <v>1</v>
      </c>
      <c r="B64" s="36">
        <f>'FOUND DATA'!AA67</f>
        <v>1</v>
      </c>
      <c r="C64" s="36">
        <f>'FOUND DATA'!AB67</f>
        <v>3</v>
      </c>
      <c r="D64" s="36">
        <f>'FOUND DATA'!AC67</f>
        <v>5</v>
      </c>
      <c r="E64" s="36">
        <f>'FOUND DATA'!AD67</f>
        <v>4</v>
      </c>
    </row>
    <row r="65">
      <c r="A65" s="36">
        <f>'FOUND DATA'!Z68</f>
        <v>1</v>
      </c>
      <c r="B65" s="36">
        <f>'FOUND DATA'!AA68</f>
        <v>2</v>
      </c>
      <c r="C65" s="36">
        <f>'FOUND DATA'!AB68</f>
        <v>5</v>
      </c>
      <c r="D65" s="36">
        <f>'FOUND DATA'!AC68</f>
        <v>3</v>
      </c>
      <c r="E65" s="36">
        <f>'FOUND DATA'!AD68</f>
        <v>4</v>
      </c>
    </row>
    <row r="66">
      <c r="A66" s="36">
        <f>'FOUND DATA'!Z69</f>
        <v>1</v>
      </c>
      <c r="B66" s="36">
        <f>'FOUND DATA'!AA69</f>
        <v>2</v>
      </c>
      <c r="C66" s="36">
        <f>'FOUND DATA'!AB69</f>
        <v>4</v>
      </c>
      <c r="D66" s="36">
        <f>'FOUND DATA'!AC69</f>
        <v>5</v>
      </c>
      <c r="E66" s="36">
        <f>'FOUND DATA'!AD69</f>
        <v>3</v>
      </c>
    </row>
    <row r="67">
      <c r="A67" s="36">
        <f>'FOUND DATA'!Z70</f>
        <v>1</v>
      </c>
      <c r="B67" s="36">
        <f>'FOUND DATA'!AA70</f>
        <v>2</v>
      </c>
      <c r="C67" s="36">
        <f>'FOUND DATA'!AB70</f>
        <v>5</v>
      </c>
      <c r="D67" s="36">
        <f>'FOUND DATA'!AC70</f>
        <v>3</v>
      </c>
      <c r="E67" s="36">
        <f>'FOUND DATA'!AD70</f>
        <v>3</v>
      </c>
    </row>
    <row r="68">
      <c r="A68" s="36">
        <f>'FOUND DATA'!Z71</f>
        <v>1</v>
      </c>
      <c r="B68" s="36">
        <f>'FOUND DATA'!AA71</f>
        <v>1</v>
      </c>
      <c r="C68" s="36">
        <f>'FOUND DATA'!AB71</f>
        <v>3</v>
      </c>
      <c r="D68" s="36">
        <f>'FOUND DATA'!AC71</f>
        <v>4</v>
      </c>
      <c r="E68" s="36">
        <f>'FOUND DATA'!AD71</f>
        <v>4</v>
      </c>
    </row>
    <row r="69">
      <c r="A69" s="36">
        <f>'FOUND DATA'!Z72</f>
        <v>1</v>
      </c>
      <c r="B69" s="36">
        <f>'FOUND DATA'!AA72</f>
        <v>2</v>
      </c>
      <c r="C69" s="36">
        <f>'FOUND DATA'!AB72</f>
        <v>4</v>
      </c>
      <c r="D69" s="36">
        <f>'FOUND DATA'!AC72</f>
        <v>3</v>
      </c>
      <c r="E69" s="36">
        <f>'FOUND DATA'!AD72</f>
        <v>5</v>
      </c>
    </row>
    <row r="70">
      <c r="A70" s="36">
        <f>'FOUND DATA'!Z73</f>
        <v>2</v>
      </c>
      <c r="B70" s="36">
        <f>'FOUND DATA'!AA73</f>
        <v>1</v>
      </c>
      <c r="C70" s="36">
        <f>'FOUND DATA'!AB73</f>
        <v>3</v>
      </c>
      <c r="D70" s="36">
        <f>'FOUND DATA'!AC73</f>
        <v>4</v>
      </c>
      <c r="E70" s="36">
        <f>'FOUND DATA'!AD73</f>
        <v>5</v>
      </c>
    </row>
    <row r="71">
      <c r="A71" s="36">
        <f>'FOUND DATA'!Z74</f>
        <v>1</v>
      </c>
      <c r="B71" s="36">
        <f>'FOUND DATA'!AA74</f>
        <v>2</v>
      </c>
      <c r="C71" s="36">
        <f>'FOUND DATA'!AB74</f>
        <v>3</v>
      </c>
      <c r="D71" s="36">
        <f>'FOUND DATA'!AC74</f>
        <v>5</v>
      </c>
      <c r="E71" s="36">
        <f>'FOUND DATA'!AD74</f>
        <v>4</v>
      </c>
    </row>
    <row r="72">
      <c r="A72" s="36">
        <f>'FOUND DATA'!Z75</f>
        <v>1</v>
      </c>
      <c r="B72" s="36">
        <f>'FOUND DATA'!AA75</f>
        <v>2</v>
      </c>
      <c r="C72" s="36">
        <f>'FOUND DATA'!AB75</f>
        <v>3</v>
      </c>
      <c r="D72" s="36">
        <f>'FOUND DATA'!AC75</f>
        <v>4</v>
      </c>
      <c r="E72" s="36">
        <f>'FOUND DATA'!AD75</f>
        <v>5</v>
      </c>
    </row>
    <row r="73">
      <c r="A73" s="36">
        <f>'FOUND DATA'!Z76</f>
        <v>2</v>
      </c>
      <c r="B73" s="36">
        <f>'FOUND DATA'!AA76</f>
        <v>1</v>
      </c>
      <c r="C73" s="36">
        <f>'FOUND DATA'!AB76</f>
        <v>3</v>
      </c>
      <c r="D73" s="36">
        <f>'FOUND DATA'!AC76</f>
        <v>4</v>
      </c>
      <c r="E73" s="36">
        <f>'FOUND DATA'!AD76</f>
        <v>5</v>
      </c>
    </row>
    <row r="74">
      <c r="A74" s="36">
        <f>'FOUND DATA'!Z77</f>
        <v>2</v>
      </c>
      <c r="B74" s="36">
        <f>'FOUND DATA'!AA77</f>
        <v>1</v>
      </c>
      <c r="C74" s="36">
        <f>'FOUND DATA'!AB77</f>
        <v>3</v>
      </c>
      <c r="D74" s="36">
        <f>'FOUND DATA'!AC77</f>
        <v>4</v>
      </c>
      <c r="E74" s="36">
        <f>'FOUND DATA'!AD77</f>
        <v>5</v>
      </c>
    </row>
    <row r="75">
      <c r="A75" s="36">
        <f>'FOUND DATA'!Z78</f>
        <v>1</v>
      </c>
      <c r="B75" s="36">
        <f>'FOUND DATA'!AA78</f>
        <v>2</v>
      </c>
      <c r="C75" s="36">
        <f>'FOUND DATA'!AB78</f>
        <v>3</v>
      </c>
      <c r="D75" s="36">
        <f>'FOUND DATA'!AC78</f>
        <v>5</v>
      </c>
      <c r="E75" s="36">
        <f>'FOUND DATA'!AD78</f>
        <v>4</v>
      </c>
    </row>
    <row r="76">
      <c r="A76" s="36">
        <f>'FOUND DATA'!Z79</f>
        <v>2</v>
      </c>
      <c r="B76" s="36">
        <f>'FOUND DATA'!AA79</f>
        <v>1</v>
      </c>
      <c r="C76" s="36">
        <f>'FOUND DATA'!AB79</f>
        <v>2</v>
      </c>
      <c r="D76" s="36">
        <f>'FOUND DATA'!AC79</f>
        <v>4</v>
      </c>
      <c r="E76" s="36">
        <f>'FOUND DATA'!AD79</f>
        <v>5</v>
      </c>
    </row>
    <row r="77">
      <c r="A77" s="36">
        <f>'FOUND DATA'!Z80</f>
        <v>1</v>
      </c>
      <c r="B77" s="36">
        <f>'FOUND DATA'!AA80</f>
        <v>1</v>
      </c>
      <c r="C77" s="36">
        <f>'FOUND DATA'!AB80</f>
        <v>3</v>
      </c>
      <c r="D77" s="36">
        <f>'FOUND DATA'!AC80</f>
        <v>4</v>
      </c>
      <c r="E77" s="36">
        <f>'FOUND DATA'!AD80</f>
        <v>5</v>
      </c>
    </row>
    <row r="78">
      <c r="A78" s="36">
        <f>'FOUND DATA'!Z81</f>
        <v>1</v>
      </c>
      <c r="B78" s="36">
        <f>'FOUND DATA'!AA81</f>
        <v>1</v>
      </c>
      <c r="C78" s="36">
        <f>'FOUND DATA'!AB81</f>
        <v>3</v>
      </c>
      <c r="D78" s="36">
        <f>'FOUND DATA'!AC81</f>
        <v>4</v>
      </c>
      <c r="E78" s="36">
        <f>'FOUND DATA'!AD81</f>
        <v>5</v>
      </c>
    </row>
    <row r="79">
      <c r="A79" s="36">
        <f>'FOUND DATA'!Z82</f>
        <v>1</v>
      </c>
      <c r="B79" s="36">
        <f>'FOUND DATA'!AA82</f>
        <v>1</v>
      </c>
      <c r="C79" s="36">
        <f>'FOUND DATA'!AB82</f>
        <v>3</v>
      </c>
      <c r="D79" s="36">
        <f>'FOUND DATA'!AC82</f>
        <v>5</v>
      </c>
      <c r="E79" s="36">
        <f>'FOUND DATA'!AD82</f>
        <v>4</v>
      </c>
    </row>
    <row r="80">
      <c r="A80" s="36">
        <f>'FOUND DATA'!Z83</f>
        <v>1</v>
      </c>
      <c r="B80" s="36">
        <f>'FOUND DATA'!AA83</f>
        <v>1</v>
      </c>
      <c r="C80" s="36">
        <f>'FOUND DATA'!AB83</f>
        <v>3</v>
      </c>
      <c r="D80" s="36">
        <f>'FOUND DATA'!AC83</f>
        <v>4</v>
      </c>
      <c r="E80" s="36">
        <f>'FOUND DATA'!AD83</f>
        <v>5</v>
      </c>
    </row>
    <row r="81">
      <c r="A81" s="36">
        <f>'FOUND DATA'!Z84</f>
        <v>2</v>
      </c>
      <c r="B81" s="36">
        <f>'FOUND DATA'!AA84</f>
        <v>1</v>
      </c>
      <c r="C81" s="36">
        <f>'FOUND DATA'!AB84</f>
        <v>3</v>
      </c>
      <c r="D81" s="36">
        <f>'FOUND DATA'!AC84</f>
        <v>4</v>
      </c>
      <c r="E81" s="36">
        <f>'FOUND DATA'!AD84</f>
        <v>5</v>
      </c>
    </row>
    <row r="82">
      <c r="A82" s="36">
        <f>'FOUND DATA'!Z85</f>
        <v>1</v>
      </c>
      <c r="B82" s="36">
        <f>'FOUND DATA'!AA85</f>
        <v>1</v>
      </c>
      <c r="C82" s="36">
        <f>'FOUND DATA'!AB85</f>
        <v>3</v>
      </c>
      <c r="D82" s="36">
        <f>'FOUND DATA'!AC85</f>
        <v>4</v>
      </c>
      <c r="E82" s="36">
        <f>'FOUND DATA'!AD85</f>
        <v>5</v>
      </c>
    </row>
    <row r="83">
      <c r="A83" s="36">
        <f>'FOUND DATA'!Z86</f>
        <v>1</v>
      </c>
      <c r="B83" s="36">
        <f>'FOUND DATA'!AA86</f>
        <v>2</v>
      </c>
      <c r="C83" s="36">
        <f>'FOUND DATA'!AB86</f>
        <v>3</v>
      </c>
      <c r="D83" s="36">
        <f>'FOUND DATA'!AC86</f>
        <v>5</v>
      </c>
      <c r="E83" s="36">
        <f>'FOUND DATA'!AD86</f>
        <v>4</v>
      </c>
    </row>
    <row r="84">
      <c r="A84" s="36">
        <f>'FOUND DATA'!Z87</f>
        <v>1</v>
      </c>
      <c r="B84" s="36">
        <f>'FOUND DATA'!AA87</f>
        <v>1</v>
      </c>
      <c r="C84" s="36">
        <f>'FOUND DATA'!AB87</f>
        <v>1</v>
      </c>
      <c r="D84" s="36">
        <f>'FOUND DATA'!AC87</f>
        <v>4</v>
      </c>
      <c r="E84" s="36">
        <f>'FOUND DATA'!AD87</f>
        <v>5</v>
      </c>
    </row>
    <row r="85">
      <c r="A85" s="36">
        <f>'FOUND DATA'!Z88</f>
        <v>1</v>
      </c>
      <c r="B85" s="36">
        <f>'FOUND DATA'!AA88</f>
        <v>1</v>
      </c>
      <c r="C85" s="36">
        <f>'FOUND DATA'!AB88</f>
        <v>1</v>
      </c>
      <c r="D85" s="36">
        <f>'FOUND DATA'!AC88</f>
        <v>4</v>
      </c>
      <c r="E85" s="36">
        <f>'FOUND DATA'!AD88</f>
        <v>5</v>
      </c>
    </row>
    <row r="86">
      <c r="A86" s="36">
        <f>'FOUND DATA'!Z89</f>
        <v>1</v>
      </c>
      <c r="B86" s="36">
        <f>'FOUND DATA'!AA89</f>
        <v>1</v>
      </c>
      <c r="C86" s="36">
        <f>'FOUND DATA'!AB89</f>
        <v>3</v>
      </c>
      <c r="D86" s="36">
        <f>'FOUND DATA'!AC89</f>
        <v>4</v>
      </c>
      <c r="E86" s="36">
        <f>'FOUND DATA'!AD89</f>
        <v>5</v>
      </c>
    </row>
    <row r="87">
      <c r="A87" s="36">
        <f>'FOUND DATA'!Z90</f>
        <v>1</v>
      </c>
      <c r="B87" s="36">
        <f>'FOUND DATA'!AA90</f>
        <v>1</v>
      </c>
      <c r="C87" s="36">
        <f>'FOUND DATA'!AB90</f>
        <v>3</v>
      </c>
      <c r="D87" s="36">
        <f>'FOUND DATA'!AC90</f>
        <v>4</v>
      </c>
      <c r="E87" s="36">
        <f>'FOUND DATA'!AD90</f>
        <v>5</v>
      </c>
    </row>
    <row r="88">
      <c r="A88" s="36">
        <f>'FOUND DATA'!Z91</f>
        <v>1</v>
      </c>
      <c r="B88" s="36">
        <f>'FOUND DATA'!AA91</f>
        <v>2</v>
      </c>
      <c r="C88" s="36">
        <f>'FOUND DATA'!AB91</f>
        <v>3</v>
      </c>
      <c r="D88" s="36">
        <f>'FOUND DATA'!AC91</f>
        <v>5</v>
      </c>
      <c r="E88" s="36">
        <f>'FOUND DATA'!AD91</f>
        <v>4</v>
      </c>
    </row>
    <row r="89">
      <c r="A89" s="36">
        <f>'FOUND DATA'!Z92</f>
        <v>2</v>
      </c>
      <c r="B89" s="36">
        <f>'FOUND DATA'!AA92</f>
        <v>1</v>
      </c>
      <c r="C89" s="36">
        <f>'FOUND DATA'!AB92</f>
        <v>3</v>
      </c>
      <c r="D89" s="36">
        <f>'FOUND DATA'!AC92</f>
        <v>4</v>
      </c>
      <c r="E89" s="36">
        <f>'FOUND DATA'!AD92</f>
        <v>5</v>
      </c>
    </row>
    <row r="90">
      <c r="A90" s="36">
        <f>'FOUND DATA'!Z93</f>
        <v>1</v>
      </c>
      <c r="B90" s="36">
        <f>'FOUND DATA'!AA93</f>
        <v>2</v>
      </c>
      <c r="C90" s="36">
        <f>'FOUND DATA'!AB93</f>
        <v>3</v>
      </c>
      <c r="D90" s="36">
        <f>'FOUND DATA'!AC93</f>
        <v>4</v>
      </c>
      <c r="E90" s="36">
        <f>'FOUND DATA'!AD93</f>
        <v>5</v>
      </c>
    </row>
    <row r="91">
      <c r="A91" s="36">
        <f>'FOUND DATA'!Z94</f>
        <v>2</v>
      </c>
      <c r="B91" s="36">
        <f>'FOUND DATA'!AA94</f>
        <v>2</v>
      </c>
      <c r="C91" s="36">
        <f>'FOUND DATA'!AB94</f>
        <v>1</v>
      </c>
      <c r="D91" s="36">
        <f>'FOUND DATA'!AC94</f>
        <v>4</v>
      </c>
      <c r="E91" s="36">
        <f>'FOUND DATA'!AD94</f>
        <v>5</v>
      </c>
    </row>
    <row r="92">
      <c r="A92" s="36">
        <f>'FOUND DATA'!Z95</f>
        <v>2</v>
      </c>
      <c r="B92" s="36">
        <f>'FOUND DATA'!AA95</f>
        <v>1</v>
      </c>
      <c r="C92" s="36">
        <f>'FOUND DATA'!AB95</f>
        <v>3</v>
      </c>
      <c r="D92" s="36">
        <f>'FOUND DATA'!AC95</f>
        <v>4</v>
      </c>
      <c r="E92" s="36">
        <f>'FOUND DATA'!AD95</f>
        <v>5</v>
      </c>
    </row>
    <row r="93">
      <c r="A93" s="36">
        <f>'FOUND DATA'!Z96</f>
        <v>1</v>
      </c>
      <c r="B93" s="36">
        <f>'FOUND DATA'!AA96</f>
        <v>1</v>
      </c>
      <c r="C93" s="36">
        <f>'FOUND DATA'!AB96</f>
        <v>5</v>
      </c>
      <c r="D93" s="36">
        <f>'FOUND DATA'!AC96</f>
        <v>4</v>
      </c>
      <c r="E93" s="36">
        <f>'FOUND DATA'!AD96</f>
        <v>3</v>
      </c>
    </row>
    <row r="94">
      <c r="A94" s="36">
        <f>'FOUND DATA'!Z97</f>
        <v>1</v>
      </c>
      <c r="B94" s="36">
        <f>'FOUND DATA'!AA97</f>
        <v>1</v>
      </c>
      <c r="C94" s="36">
        <f>'FOUND DATA'!AB97</f>
        <v>3</v>
      </c>
      <c r="D94" s="36">
        <f>'FOUND DATA'!AC97</f>
        <v>4</v>
      </c>
      <c r="E94" s="36">
        <f>'FOUND DATA'!AD97</f>
        <v>5</v>
      </c>
    </row>
    <row r="95">
      <c r="A95" s="36">
        <f>'FOUND DATA'!Z98</f>
        <v>1</v>
      </c>
      <c r="B95" s="36">
        <f>'FOUND DATA'!AA98</f>
        <v>2</v>
      </c>
      <c r="C95" s="36">
        <f>'FOUND DATA'!AB98</f>
        <v>5</v>
      </c>
      <c r="D95" s="36">
        <f>'FOUND DATA'!AC98</f>
        <v>3</v>
      </c>
      <c r="E95" s="36">
        <f>'FOUND DATA'!AD98</f>
        <v>4</v>
      </c>
    </row>
    <row r="96">
      <c r="A96" s="36">
        <f>'FOUND DATA'!Z99</f>
        <v>2</v>
      </c>
      <c r="B96" s="36">
        <f>'FOUND DATA'!AA99</f>
        <v>1</v>
      </c>
      <c r="C96" s="36">
        <f>'FOUND DATA'!AB99</f>
        <v>3</v>
      </c>
      <c r="D96" s="36">
        <f>'FOUND DATA'!AC99</f>
        <v>4</v>
      </c>
      <c r="E96" s="36">
        <f>'FOUND DATA'!AD99</f>
        <v>5</v>
      </c>
    </row>
    <row r="97">
      <c r="A97" s="36">
        <f>'FOUND DATA'!Z100</f>
        <v>1</v>
      </c>
      <c r="B97" s="36">
        <f>'FOUND DATA'!AA100</f>
        <v>2</v>
      </c>
      <c r="C97" s="36">
        <f>'FOUND DATA'!AB100</f>
        <v>3</v>
      </c>
      <c r="D97" s="36">
        <f>'FOUND DATA'!AC100</f>
        <v>4</v>
      </c>
      <c r="E97" s="36">
        <f>'FOUND DATA'!AD100</f>
        <v>5</v>
      </c>
    </row>
    <row r="98">
      <c r="A98" s="36">
        <f>'FOUND DATA'!Z101</f>
        <v>1</v>
      </c>
      <c r="B98" s="36">
        <f>'FOUND DATA'!AA101</f>
        <v>2</v>
      </c>
      <c r="C98" s="36">
        <f>'FOUND DATA'!AB101</f>
        <v>5</v>
      </c>
      <c r="D98" s="36">
        <f>'FOUND DATA'!AC101</f>
        <v>4</v>
      </c>
      <c r="E98" s="36">
        <f>'FOUND DATA'!AD101</f>
        <v>3</v>
      </c>
    </row>
    <row r="99">
      <c r="A99" s="36">
        <f>'FOUND DATA'!Z102</f>
        <v>1</v>
      </c>
      <c r="B99" s="36">
        <f>'FOUND DATA'!AA102</f>
        <v>2</v>
      </c>
      <c r="C99" s="36">
        <f>'FOUND DATA'!AB102</f>
        <v>3</v>
      </c>
      <c r="D99" s="36">
        <f>'FOUND DATA'!AC102</f>
        <v>4</v>
      </c>
      <c r="E99" s="36">
        <f>'FOUND DATA'!AD102</f>
        <v>5</v>
      </c>
    </row>
    <row r="100">
      <c r="A100" s="36">
        <f>'FOUND DATA'!Z103</f>
        <v>1</v>
      </c>
      <c r="B100" s="36">
        <f>'FOUND DATA'!AA103</f>
        <v>1</v>
      </c>
      <c r="C100" s="36">
        <f>'FOUND DATA'!AB103</f>
        <v>3</v>
      </c>
      <c r="D100" s="36">
        <f>'FOUND DATA'!AC103</f>
        <v>4</v>
      </c>
      <c r="E100" s="36">
        <f>'FOUND DATA'!AD103</f>
        <v>5</v>
      </c>
    </row>
    <row r="101">
      <c r="A101" s="36">
        <f>'FOUND DATA'!Z104</f>
        <v>1</v>
      </c>
      <c r="B101" s="36">
        <f>'FOUND DATA'!AA104</f>
        <v>2</v>
      </c>
      <c r="C101" s="36">
        <f>'FOUND DATA'!AB104</f>
        <v>3</v>
      </c>
      <c r="D101" s="36">
        <f>'FOUND DATA'!AC104</f>
        <v>4</v>
      </c>
      <c r="E101" s="36">
        <f>'FOUND DATA'!AD104</f>
        <v>5</v>
      </c>
    </row>
    <row r="102">
      <c r="A102" s="36">
        <f>'FOUND DATA'!Z105</f>
        <v>1</v>
      </c>
      <c r="B102" s="36">
        <f>'FOUND DATA'!AA105</f>
        <v>2</v>
      </c>
      <c r="C102" s="36">
        <f>'FOUND DATA'!AB105</f>
        <v>2</v>
      </c>
      <c r="D102" s="36">
        <f>'FOUND DATA'!AC105</f>
        <v>4</v>
      </c>
      <c r="E102" s="36">
        <f>'FOUND DATA'!AD105</f>
        <v>5</v>
      </c>
    </row>
    <row r="103">
      <c r="A103" s="36">
        <f>'FOUND DATA'!Z106</f>
        <v>1</v>
      </c>
      <c r="B103" s="36">
        <f>'FOUND DATA'!AA106</f>
        <v>2</v>
      </c>
      <c r="C103" s="36">
        <f>'FOUND DATA'!AB106</f>
        <v>3</v>
      </c>
      <c r="D103" s="36">
        <f>'FOUND DATA'!AC106</f>
        <v>5</v>
      </c>
      <c r="E103" s="36">
        <f>'FOUND DATA'!AD106</f>
        <v>4</v>
      </c>
    </row>
    <row r="104">
      <c r="A104" s="36">
        <f>'FOUND DATA'!Z107</f>
        <v>1</v>
      </c>
      <c r="B104" s="36">
        <f>'FOUND DATA'!AA107</f>
        <v>2</v>
      </c>
      <c r="C104" s="36">
        <f>'FOUND DATA'!AB107</f>
        <v>3</v>
      </c>
      <c r="D104" s="36">
        <f>'FOUND DATA'!AC107</f>
        <v>4</v>
      </c>
      <c r="E104" s="36">
        <f>'FOUND DATA'!AD107</f>
        <v>5</v>
      </c>
    </row>
    <row r="105">
      <c r="A105" s="35" t="str">
        <f>'FOUND DATA'!Z108</f>
        <v>END</v>
      </c>
      <c r="B105" s="35" t="str">
        <f>'FOUND DATA'!AA108</f>
        <v>END</v>
      </c>
      <c r="C105" s="36" t="str">
        <f>'FOUND DATA'!AB108</f>
        <v>END</v>
      </c>
      <c r="D105" s="36" t="str">
        <f>'FOUND DATA'!AC108</f>
        <v>END</v>
      </c>
      <c r="E105" s="36" t="str">
        <f>'FOUND DATA'!AD108</f>
        <v>END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8.88"/>
    <col customWidth="1" min="4" max="4" width="19.0"/>
    <col customWidth="1" min="11" max="11" width="14.75"/>
    <col customWidth="1" min="12" max="12" width="16.38"/>
    <col customWidth="1" min="13" max="13" width="27.75"/>
    <col customWidth="1" min="14" max="14" width="12.0"/>
    <col customWidth="1" min="15" max="15" width="13.0"/>
    <col customWidth="1" min="16" max="18" width="13.88"/>
    <col customWidth="1" min="19" max="19" width="33.0"/>
    <col customWidth="1" min="20" max="20" width="19.75"/>
    <col customWidth="1" min="21" max="21" width="13.88"/>
    <col customWidth="1" min="22" max="22" width="14.75"/>
    <col customWidth="1" min="23" max="23" width="14.63"/>
    <col customWidth="1" min="24" max="31" width="14.75"/>
    <col customWidth="1" min="32" max="32" width="15.75"/>
  </cols>
  <sheetData>
    <row r="1">
      <c r="A1" s="1" t="s">
        <v>155</v>
      </c>
      <c r="M1" s="2"/>
      <c r="N1" s="3"/>
      <c r="O1" s="3"/>
      <c r="P1" s="3"/>
      <c r="Q1" s="3"/>
      <c r="R1" s="3"/>
      <c r="S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B2" s="4" t="s">
        <v>1</v>
      </c>
      <c r="C2" s="5" t="s">
        <v>2</v>
      </c>
      <c r="D2" s="6" t="s">
        <v>3</v>
      </c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B3" s="7" t="s">
        <v>4</v>
      </c>
      <c r="L3" s="8"/>
      <c r="M3" s="9"/>
      <c r="N3" s="10" t="s">
        <v>5</v>
      </c>
      <c r="R3" s="11"/>
      <c r="S3" s="9"/>
      <c r="T3" s="9" t="s">
        <v>156</v>
      </c>
      <c r="U3" s="73" t="s">
        <v>157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3" t="s">
        <v>9</v>
      </c>
      <c r="B4" s="14" t="s">
        <v>10</v>
      </c>
      <c r="C4" s="15" t="s">
        <v>11</v>
      </c>
      <c r="D4" s="13" t="s">
        <v>12</v>
      </c>
      <c r="E4" s="15" t="s">
        <v>13</v>
      </c>
      <c r="F4" s="13" t="s">
        <v>14</v>
      </c>
      <c r="G4" s="15" t="s">
        <v>15</v>
      </c>
      <c r="H4" s="13" t="s">
        <v>16</v>
      </c>
      <c r="I4" s="15" t="s">
        <v>17</v>
      </c>
      <c r="J4" s="13" t="s">
        <v>18</v>
      </c>
      <c r="K4" s="15" t="s">
        <v>19</v>
      </c>
      <c r="L4" s="16" t="s">
        <v>20</v>
      </c>
      <c r="M4" s="17" t="s">
        <v>21</v>
      </c>
      <c r="N4" s="18" t="s">
        <v>22</v>
      </c>
      <c r="O4" s="18" t="s">
        <v>23</v>
      </c>
      <c r="P4" s="18" t="s">
        <v>24</v>
      </c>
      <c r="Q4" s="18" t="s">
        <v>25</v>
      </c>
      <c r="R4" s="19" t="s">
        <v>26</v>
      </c>
      <c r="S4" s="17" t="s">
        <v>27</v>
      </c>
      <c r="T4" s="20"/>
      <c r="U4" s="25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>
      <c r="A5" s="27" t="s">
        <v>158</v>
      </c>
      <c r="B5" s="28">
        <v>5.0</v>
      </c>
      <c r="C5" s="29">
        <v>0.2</v>
      </c>
      <c r="D5" s="28">
        <v>10.0</v>
      </c>
      <c r="E5" s="29">
        <v>0.6</v>
      </c>
      <c r="F5" s="28">
        <v>0.0</v>
      </c>
      <c r="G5" s="29">
        <v>0.0</v>
      </c>
      <c r="H5" s="28">
        <v>0.0</v>
      </c>
      <c r="I5" s="29">
        <v>0.0</v>
      </c>
      <c r="J5" s="28">
        <v>30.0</v>
      </c>
      <c r="K5" s="29">
        <v>0.2</v>
      </c>
      <c r="L5" s="30">
        <v>0.0</v>
      </c>
      <c r="M5" s="31">
        <f t="shared" ref="M5:M19" si="1">sum(C5+E5+G5+I5+K5+L5)</f>
        <v>1</v>
      </c>
      <c r="N5" s="32">
        <v>0.48</v>
      </c>
      <c r="O5" s="32">
        <v>1.58</v>
      </c>
      <c r="P5" s="32">
        <v>4.11</v>
      </c>
      <c r="Q5" s="32">
        <v>15.03</v>
      </c>
      <c r="R5" s="33">
        <v>78.8</v>
      </c>
      <c r="S5" s="34">
        <f t="shared" ref="S5:S102" si="2">SUM(N5:R5)</f>
        <v>100</v>
      </c>
      <c r="T5" s="35">
        <f t="shared" ref="T5:T102" si="3">N5*0.3+O5*0.65+P5*0.75+Q5*0.85+R5*0.95</f>
        <v>91.889</v>
      </c>
      <c r="U5" s="37"/>
    </row>
    <row r="6">
      <c r="A6" s="27" t="s">
        <v>159</v>
      </c>
      <c r="B6" s="28">
        <v>8.0</v>
      </c>
      <c r="C6" s="29">
        <v>0.32</v>
      </c>
      <c r="D6" s="28">
        <v>4.0</v>
      </c>
      <c r="E6" s="29">
        <v>0.16</v>
      </c>
      <c r="F6" s="28">
        <v>1.0</v>
      </c>
      <c r="G6" s="29">
        <v>0.2</v>
      </c>
      <c r="H6" s="28">
        <v>0.0</v>
      </c>
      <c r="I6" s="29">
        <v>0.0</v>
      </c>
      <c r="J6" s="28">
        <v>4.0</v>
      </c>
      <c r="K6" s="29">
        <v>0.32</v>
      </c>
      <c r="L6" s="30">
        <v>0.0</v>
      </c>
      <c r="M6" s="31">
        <f t="shared" si="1"/>
        <v>1</v>
      </c>
      <c r="N6" s="32">
        <v>1.2</v>
      </c>
      <c r="O6" s="32">
        <v>4.82</v>
      </c>
      <c r="P6" s="32">
        <v>19.28</v>
      </c>
      <c r="Q6" s="32">
        <v>39.76</v>
      </c>
      <c r="R6" s="32">
        <v>34.94</v>
      </c>
      <c r="S6" s="34">
        <f t="shared" si="2"/>
        <v>100</v>
      </c>
      <c r="T6" s="35">
        <f t="shared" si="3"/>
        <v>84.942</v>
      </c>
      <c r="U6" s="37"/>
    </row>
    <row r="7">
      <c r="A7" s="27" t="s">
        <v>160</v>
      </c>
      <c r="B7" s="28">
        <v>8.0</v>
      </c>
      <c r="C7" s="29">
        <v>0.32</v>
      </c>
      <c r="D7" s="28">
        <v>4.0</v>
      </c>
      <c r="E7" s="29">
        <v>0.16</v>
      </c>
      <c r="F7" s="28">
        <v>1.0</v>
      </c>
      <c r="G7" s="29">
        <v>0.2</v>
      </c>
      <c r="H7" s="28">
        <v>0.0</v>
      </c>
      <c r="I7" s="29">
        <v>0.0</v>
      </c>
      <c r="J7" s="28">
        <v>4.0</v>
      </c>
      <c r="K7" s="29">
        <v>0.32</v>
      </c>
      <c r="L7" s="30">
        <v>0.0</v>
      </c>
      <c r="M7" s="31">
        <f t="shared" si="1"/>
        <v>1</v>
      </c>
      <c r="N7" s="32">
        <v>0.0</v>
      </c>
      <c r="O7" s="32">
        <v>5.97</v>
      </c>
      <c r="P7" s="32">
        <v>16.42</v>
      </c>
      <c r="Q7" s="32">
        <v>41.79</v>
      </c>
      <c r="R7" s="32">
        <v>35.82</v>
      </c>
      <c r="S7" s="34">
        <f t="shared" si="2"/>
        <v>100</v>
      </c>
      <c r="T7" s="35">
        <f t="shared" si="3"/>
        <v>85.746</v>
      </c>
      <c r="U7" s="37"/>
    </row>
    <row r="8">
      <c r="A8" s="27" t="s">
        <v>161</v>
      </c>
      <c r="B8" s="28">
        <v>8.0</v>
      </c>
      <c r="C8" s="29">
        <v>0.3</v>
      </c>
      <c r="D8" s="28">
        <v>6.0</v>
      </c>
      <c r="E8" s="29">
        <v>0.2</v>
      </c>
      <c r="F8" s="28">
        <v>0.0</v>
      </c>
      <c r="G8" s="29">
        <v>0.0</v>
      </c>
      <c r="H8" s="28">
        <v>3.0</v>
      </c>
      <c r="I8" s="29">
        <v>0.45</v>
      </c>
      <c r="J8" s="28">
        <v>0.0</v>
      </c>
      <c r="K8" s="29">
        <v>0.0</v>
      </c>
      <c r="L8" s="30">
        <v>0.05</v>
      </c>
      <c r="M8" s="31">
        <f t="shared" si="1"/>
        <v>1</v>
      </c>
      <c r="N8" s="32">
        <v>3.17</v>
      </c>
      <c r="O8" s="32">
        <v>6.35</v>
      </c>
      <c r="P8" s="32">
        <v>16.67</v>
      </c>
      <c r="Q8" s="32">
        <v>48.41</v>
      </c>
      <c r="R8" s="32">
        <v>25.4</v>
      </c>
      <c r="S8" s="34">
        <f t="shared" si="2"/>
        <v>100</v>
      </c>
      <c r="T8" s="35">
        <f t="shared" si="3"/>
        <v>82.8595</v>
      </c>
      <c r="U8" s="37"/>
    </row>
    <row r="9">
      <c r="A9" s="27" t="s">
        <v>162</v>
      </c>
      <c r="B9" s="28">
        <v>16.0</v>
      </c>
      <c r="C9" s="29">
        <v>0.5</v>
      </c>
      <c r="D9" s="28">
        <v>6.0</v>
      </c>
      <c r="E9" s="29">
        <v>0.2</v>
      </c>
      <c r="F9" s="28">
        <v>0.0</v>
      </c>
      <c r="G9" s="29">
        <v>0.0</v>
      </c>
      <c r="H9" s="28">
        <v>3.0</v>
      </c>
      <c r="I9" s="29">
        <v>0.3</v>
      </c>
      <c r="J9" s="28">
        <v>0.0</v>
      </c>
      <c r="K9" s="29">
        <v>0.0</v>
      </c>
      <c r="L9" s="30">
        <v>0.0</v>
      </c>
      <c r="M9" s="31">
        <f t="shared" si="1"/>
        <v>1</v>
      </c>
      <c r="N9" s="32">
        <v>2.76</v>
      </c>
      <c r="O9" s="32">
        <v>2.07</v>
      </c>
      <c r="P9" s="32">
        <v>32.41</v>
      </c>
      <c r="Q9" s="32">
        <v>45.52</v>
      </c>
      <c r="R9" s="32">
        <v>17.24</v>
      </c>
      <c r="S9" s="34">
        <f t="shared" si="2"/>
        <v>100</v>
      </c>
      <c r="T9" s="35">
        <f t="shared" si="3"/>
        <v>81.551</v>
      </c>
      <c r="U9" s="37"/>
    </row>
    <row r="10">
      <c r="A10" s="27" t="s">
        <v>163</v>
      </c>
      <c r="B10" s="28">
        <v>9.0</v>
      </c>
      <c r="C10" s="29">
        <v>0.36</v>
      </c>
      <c r="D10" s="28">
        <v>0.0</v>
      </c>
      <c r="E10" s="29">
        <v>0.0</v>
      </c>
      <c r="F10" s="28">
        <v>0.0</v>
      </c>
      <c r="G10" s="29">
        <v>0.0</v>
      </c>
      <c r="H10" s="28">
        <v>4.0</v>
      </c>
      <c r="I10" s="29">
        <v>0.48</v>
      </c>
      <c r="J10" s="28">
        <v>35.0</v>
      </c>
      <c r="K10" s="29">
        <v>0.16</v>
      </c>
      <c r="L10" s="30">
        <v>0.0</v>
      </c>
      <c r="M10" s="31">
        <f t="shared" si="1"/>
        <v>1</v>
      </c>
      <c r="N10" s="32">
        <v>2.18</v>
      </c>
      <c r="O10" s="32">
        <v>3.65</v>
      </c>
      <c r="P10" s="32">
        <v>18.25</v>
      </c>
      <c r="Q10" s="32">
        <v>40.88</v>
      </c>
      <c r="R10" s="32">
        <v>35.04</v>
      </c>
      <c r="S10" s="34">
        <f t="shared" si="2"/>
        <v>100</v>
      </c>
      <c r="T10" s="35">
        <f t="shared" si="3"/>
        <v>84.75</v>
      </c>
      <c r="U10" s="37"/>
    </row>
    <row r="11">
      <c r="A11" s="27" t="s">
        <v>164</v>
      </c>
      <c r="B11" s="28">
        <v>11.0</v>
      </c>
      <c r="C11" s="29">
        <v>0.25</v>
      </c>
      <c r="D11" s="28">
        <v>5.0</v>
      </c>
      <c r="E11" s="29">
        <v>0.15</v>
      </c>
      <c r="F11" s="28">
        <v>1.0</v>
      </c>
      <c r="G11" s="29">
        <v>0.2</v>
      </c>
      <c r="H11" s="28">
        <v>3.0</v>
      </c>
      <c r="I11" s="29">
        <v>0.3</v>
      </c>
      <c r="J11" s="28">
        <v>0.0</v>
      </c>
      <c r="K11" s="29">
        <v>0.0</v>
      </c>
      <c r="L11" s="30">
        <v>0.1</v>
      </c>
      <c r="M11" s="31">
        <f t="shared" si="1"/>
        <v>1</v>
      </c>
      <c r="N11" s="32">
        <v>4.22</v>
      </c>
      <c r="O11" s="32">
        <v>6.63</v>
      </c>
      <c r="P11" s="32">
        <v>19.88</v>
      </c>
      <c r="Q11" s="32">
        <v>35.54</v>
      </c>
      <c r="R11" s="32">
        <v>33.73</v>
      </c>
      <c r="S11" s="34">
        <f t="shared" si="2"/>
        <v>100</v>
      </c>
      <c r="T11" s="35">
        <f t="shared" si="3"/>
        <v>82.738</v>
      </c>
      <c r="U11" s="37"/>
    </row>
    <row r="12">
      <c r="A12" s="27" t="s">
        <v>165</v>
      </c>
      <c r="B12" s="28">
        <v>11.0</v>
      </c>
      <c r="C12" s="29">
        <v>0.25</v>
      </c>
      <c r="D12" s="28">
        <v>4.0</v>
      </c>
      <c r="E12" s="29">
        <v>0.15</v>
      </c>
      <c r="F12" s="28">
        <v>1.0</v>
      </c>
      <c r="G12" s="29">
        <v>0.2</v>
      </c>
      <c r="H12" s="28">
        <v>3.0</v>
      </c>
      <c r="I12" s="29">
        <v>0.3</v>
      </c>
      <c r="J12" s="28">
        <v>24.0</v>
      </c>
      <c r="K12" s="29">
        <v>0.1</v>
      </c>
      <c r="L12" s="30">
        <v>0.0</v>
      </c>
      <c r="M12" s="31">
        <f t="shared" si="1"/>
        <v>1</v>
      </c>
      <c r="N12" s="32">
        <v>3.9</v>
      </c>
      <c r="O12" s="32">
        <v>6.49</v>
      </c>
      <c r="P12" s="32">
        <v>23.38</v>
      </c>
      <c r="Q12" s="32">
        <v>35.71</v>
      </c>
      <c r="R12" s="32">
        <v>30.52</v>
      </c>
      <c r="S12" s="34">
        <f t="shared" si="2"/>
        <v>100</v>
      </c>
      <c r="T12" s="35">
        <f t="shared" si="3"/>
        <v>82.271</v>
      </c>
      <c r="U12" s="37"/>
    </row>
    <row r="13">
      <c r="A13" s="27" t="s">
        <v>166</v>
      </c>
      <c r="B13" s="28">
        <v>10.0</v>
      </c>
      <c r="C13" s="29">
        <v>0.25</v>
      </c>
      <c r="D13" s="28">
        <v>9.0</v>
      </c>
      <c r="E13" s="29">
        <v>0.15</v>
      </c>
      <c r="F13" s="28">
        <v>1.0</v>
      </c>
      <c r="G13" s="29">
        <v>0.2</v>
      </c>
      <c r="H13" s="28">
        <v>3.0</v>
      </c>
      <c r="I13" s="29">
        <v>0.3</v>
      </c>
      <c r="J13" s="28">
        <v>25.0</v>
      </c>
      <c r="K13" s="29">
        <v>0.1</v>
      </c>
      <c r="L13" s="30">
        <v>0.0</v>
      </c>
      <c r="M13" s="31">
        <f t="shared" si="1"/>
        <v>1</v>
      </c>
      <c r="N13" s="32">
        <v>4.0</v>
      </c>
      <c r="O13" s="32">
        <v>7.33</v>
      </c>
      <c r="P13" s="32">
        <v>12.67</v>
      </c>
      <c r="Q13" s="32">
        <v>35.33</v>
      </c>
      <c r="R13" s="32">
        <v>40.67</v>
      </c>
      <c r="S13" s="34">
        <f t="shared" si="2"/>
        <v>100</v>
      </c>
      <c r="T13" s="35">
        <f t="shared" si="3"/>
        <v>84.134</v>
      </c>
      <c r="U13" s="37"/>
    </row>
    <row r="14">
      <c r="A14" s="27" t="s">
        <v>167</v>
      </c>
      <c r="B14" s="28">
        <v>10.0</v>
      </c>
      <c r="C14" s="29">
        <v>0.25</v>
      </c>
      <c r="D14" s="28">
        <v>6.0</v>
      </c>
      <c r="E14" s="29">
        <v>0.15</v>
      </c>
      <c r="F14" s="28">
        <v>1.0</v>
      </c>
      <c r="G14" s="29">
        <v>0.2</v>
      </c>
      <c r="H14" s="28">
        <v>3.0</v>
      </c>
      <c r="I14" s="29">
        <v>0.3</v>
      </c>
      <c r="J14" s="28">
        <v>24.0</v>
      </c>
      <c r="K14" s="29">
        <v>0.1</v>
      </c>
      <c r="L14" s="30">
        <v>0.0</v>
      </c>
      <c r="M14" s="31">
        <f t="shared" si="1"/>
        <v>1</v>
      </c>
      <c r="N14" s="32">
        <v>3.76</v>
      </c>
      <c r="O14" s="32">
        <v>2.26</v>
      </c>
      <c r="P14" s="32">
        <v>11.28</v>
      </c>
      <c r="Q14" s="32">
        <v>36.84</v>
      </c>
      <c r="R14" s="32">
        <v>45.86</v>
      </c>
      <c r="S14" s="34">
        <f t="shared" si="2"/>
        <v>100</v>
      </c>
      <c r="T14" s="35">
        <f t="shared" si="3"/>
        <v>85.938</v>
      </c>
      <c r="U14" s="37"/>
    </row>
    <row r="15">
      <c r="A15" s="27" t="s">
        <v>168</v>
      </c>
      <c r="B15" s="28">
        <v>10.0</v>
      </c>
      <c r="C15" s="29">
        <v>0.25</v>
      </c>
      <c r="D15" s="28">
        <v>1.0</v>
      </c>
      <c r="E15" s="29">
        <v>0.1</v>
      </c>
      <c r="F15" s="28">
        <v>1.0</v>
      </c>
      <c r="G15" s="29">
        <v>0.2</v>
      </c>
      <c r="H15" s="28">
        <v>3.0</v>
      </c>
      <c r="I15" s="29">
        <v>0.3</v>
      </c>
      <c r="J15" s="28">
        <v>24.0</v>
      </c>
      <c r="K15" s="29">
        <v>0.15</v>
      </c>
      <c r="L15" s="30">
        <v>0.0</v>
      </c>
      <c r="M15" s="31">
        <f t="shared" si="1"/>
        <v>1</v>
      </c>
      <c r="N15" s="32">
        <v>0.0</v>
      </c>
      <c r="O15" s="32">
        <v>0.79</v>
      </c>
      <c r="P15" s="32">
        <v>18.11</v>
      </c>
      <c r="Q15" s="32">
        <v>42.52</v>
      </c>
      <c r="R15" s="32">
        <v>38.58</v>
      </c>
      <c r="S15" s="34">
        <f t="shared" si="2"/>
        <v>100</v>
      </c>
      <c r="T15" s="35">
        <f t="shared" si="3"/>
        <v>86.889</v>
      </c>
      <c r="U15" s="37"/>
    </row>
    <row r="16">
      <c r="A16" s="27" t="s">
        <v>169</v>
      </c>
      <c r="B16" s="28">
        <v>10.0</v>
      </c>
      <c r="C16" s="29">
        <v>0.25</v>
      </c>
      <c r="D16" s="28">
        <v>1.0</v>
      </c>
      <c r="E16" s="29">
        <v>0.1</v>
      </c>
      <c r="F16" s="28">
        <v>1.0</v>
      </c>
      <c r="G16" s="29">
        <v>0.2</v>
      </c>
      <c r="H16" s="28">
        <v>3.0</v>
      </c>
      <c r="I16" s="29">
        <v>0.3</v>
      </c>
      <c r="J16" s="28">
        <v>28.0</v>
      </c>
      <c r="K16" s="29">
        <v>0.15</v>
      </c>
      <c r="L16" s="30">
        <v>0.0</v>
      </c>
      <c r="M16" s="31">
        <f t="shared" si="1"/>
        <v>1</v>
      </c>
      <c r="N16" s="32">
        <v>3.1</v>
      </c>
      <c r="O16" s="32">
        <v>3.1</v>
      </c>
      <c r="P16" s="32">
        <v>13.18</v>
      </c>
      <c r="Q16" s="32">
        <v>40.31</v>
      </c>
      <c r="R16" s="32">
        <v>40.31</v>
      </c>
      <c r="S16" s="34">
        <f t="shared" si="2"/>
        <v>100</v>
      </c>
      <c r="T16" s="35">
        <f t="shared" si="3"/>
        <v>85.388</v>
      </c>
      <c r="U16" s="37"/>
    </row>
    <row r="17">
      <c r="A17" s="27" t="s">
        <v>170</v>
      </c>
      <c r="B17" s="28">
        <v>12.0</v>
      </c>
      <c r="C17" s="29">
        <v>0.45</v>
      </c>
      <c r="D17" s="28">
        <v>11.0</v>
      </c>
      <c r="E17" s="29">
        <v>0.5</v>
      </c>
      <c r="F17" s="28">
        <v>0.0</v>
      </c>
      <c r="G17" s="29">
        <v>0.0</v>
      </c>
      <c r="H17" s="28">
        <v>0.0</v>
      </c>
      <c r="I17" s="29">
        <v>0.0</v>
      </c>
      <c r="J17" s="28">
        <v>11.0</v>
      </c>
      <c r="K17" s="29">
        <v>0.05</v>
      </c>
      <c r="L17" s="30">
        <v>0.0</v>
      </c>
      <c r="M17" s="31">
        <f t="shared" si="1"/>
        <v>1</v>
      </c>
      <c r="N17" s="32">
        <v>0.82</v>
      </c>
      <c r="O17" s="32">
        <v>0.0</v>
      </c>
      <c r="P17" s="32">
        <v>4.1</v>
      </c>
      <c r="Q17" s="32">
        <v>18.03</v>
      </c>
      <c r="R17" s="32">
        <v>77.05</v>
      </c>
      <c r="S17" s="34">
        <f t="shared" si="2"/>
        <v>100</v>
      </c>
      <c r="T17" s="35">
        <f t="shared" si="3"/>
        <v>91.844</v>
      </c>
      <c r="U17" s="37"/>
    </row>
    <row r="18">
      <c r="A18" s="27" t="s">
        <v>171</v>
      </c>
      <c r="B18" s="28">
        <v>8.0</v>
      </c>
      <c r="C18" s="29">
        <v>0.15</v>
      </c>
      <c r="D18" s="28">
        <v>1.0</v>
      </c>
      <c r="E18" s="29">
        <v>0.1</v>
      </c>
      <c r="F18" s="28">
        <v>1.0</v>
      </c>
      <c r="G18" s="29">
        <v>0.22</v>
      </c>
      <c r="H18" s="28">
        <v>3.0</v>
      </c>
      <c r="I18" s="29">
        <v>0.42</v>
      </c>
      <c r="J18" s="28">
        <v>0.0</v>
      </c>
      <c r="K18" s="29">
        <v>0.0</v>
      </c>
      <c r="L18" s="30">
        <v>0.11</v>
      </c>
      <c r="M18" s="31">
        <f t="shared" si="1"/>
        <v>1</v>
      </c>
      <c r="N18" s="32">
        <v>2.87</v>
      </c>
      <c r="O18" s="32">
        <v>9.2</v>
      </c>
      <c r="P18" s="32">
        <v>29.89</v>
      </c>
      <c r="Q18" s="32">
        <v>35.63</v>
      </c>
      <c r="R18" s="32">
        <v>22.41</v>
      </c>
      <c r="S18" s="34">
        <f t="shared" si="2"/>
        <v>100</v>
      </c>
      <c r="T18" s="35">
        <f t="shared" si="3"/>
        <v>80.8335</v>
      </c>
      <c r="U18" s="37"/>
    </row>
    <row r="19">
      <c r="A19" s="27" t="s">
        <v>172</v>
      </c>
      <c r="B19" s="28">
        <v>4.0</v>
      </c>
      <c r="C19" s="29">
        <v>0.2</v>
      </c>
      <c r="D19" s="28">
        <v>0.0</v>
      </c>
      <c r="E19" s="29">
        <v>0.0</v>
      </c>
      <c r="F19" s="28">
        <v>0.0</v>
      </c>
      <c r="G19" s="29">
        <v>0.0</v>
      </c>
      <c r="H19" s="28">
        <v>4.0</v>
      </c>
      <c r="I19" s="29">
        <v>0.8</v>
      </c>
      <c r="J19" s="28">
        <v>0.0</v>
      </c>
      <c r="K19" s="29">
        <v>0.0</v>
      </c>
      <c r="L19" s="30">
        <v>0.0</v>
      </c>
      <c r="M19" s="31">
        <f t="shared" si="1"/>
        <v>1</v>
      </c>
      <c r="N19" s="32">
        <v>7.15</v>
      </c>
      <c r="O19" s="32">
        <v>0.0</v>
      </c>
      <c r="P19" s="32">
        <v>28.57</v>
      </c>
      <c r="Q19" s="32">
        <v>28.57</v>
      </c>
      <c r="R19" s="32">
        <v>35.71</v>
      </c>
      <c r="S19" s="34">
        <f t="shared" si="2"/>
        <v>100</v>
      </c>
      <c r="T19" s="35">
        <f t="shared" si="3"/>
        <v>81.7815</v>
      </c>
      <c r="U19" s="37"/>
    </row>
    <row r="20">
      <c r="A20" s="27" t="s">
        <v>173</v>
      </c>
      <c r="B20" s="28">
        <v>6.0</v>
      </c>
      <c r="C20" s="29">
        <v>0.15</v>
      </c>
      <c r="D20" s="28">
        <v>0.0</v>
      </c>
      <c r="E20" s="29">
        <v>0.0</v>
      </c>
      <c r="F20" s="28">
        <v>1.0</v>
      </c>
      <c r="G20" s="29">
        <v>0.25</v>
      </c>
      <c r="H20" s="28">
        <v>2.0</v>
      </c>
      <c r="I20" s="29">
        <v>0.4</v>
      </c>
      <c r="J20" s="28">
        <v>3.0</v>
      </c>
      <c r="K20" s="29">
        <v>0.15</v>
      </c>
      <c r="L20" s="30">
        <v>0.05</v>
      </c>
      <c r="M20" s="31">
        <f t="shared" ref="M20:M21" si="4">SUM(L20,K20,I20,G20,E20,C20)</f>
        <v>1</v>
      </c>
      <c r="N20" s="32">
        <v>6.9</v>
      </c>
      <c r="O20" s="32">
        <v>3.45</v>
      </c>
      <c r="P20" s="32">
        <v>6.9</v>
      </c>
      <c r="Q20" s="32">
        <v>37.93</v>
      </c>
      <c r="R20" s="32">
        <v>44.82</v>
      </c>
      <c r="S20" s="34">
        <f t="shared" si="2"/>
        <v>100</v>
      </c>
      <c r="T20" s="35">
        <f t="shared" si="3"/>
        <v>84.307</v>
      </c>
      <c r="U20" s="37"/>
    </row>
    <row r="21">
      <c r="A21" s="27" t="s">
        <v>174</v>
      </c>
      <c r="B21" s="28">
        <v>6.0</v>
      </c>
      <c r="C21" s="29">
        <v>0.15</v>
      </c>
      <c r="D21" s="28">
        <v>0.0</v>
      </c>
      <c r="E21" s="29">
        <v>0.0</v>
      </c>
      <c r="F21" s="28">
        <v>1.0</v>
      </c>
      <c r="G21" s="29">
        <v>0.25</v>
      </c>
      <c r="H21" s="28">
        <v>2.0</v>
      </c>
      <c r="I21" s="29">
        <v>0.4</v>
      </c>
      <c r="J21" s="28">
        <v>3.0</v>
      </c>
      <c r="K21" s="29">
        <v>0.15</v>
      </c>
      <c r="L21" s="30">
        <v>0.05</v>
      </c>
      <c r="M21" s="31">
        <f t="shared" si="4"/>
        <v>1</v>
      </c>
      <c r="N21" s="32">
        <v>1.72</v>
      </c>
      <c r="O21" s="32">
        <v>1.72</v>
      </c>
      <c r="P21" s="32">
        <v>13.79</v>
      </c>
      <c r="Q21" s="32">
        <v>31.03</v>
      </c>
      <c r="R21" s="32">
        <v>51.74</v>
      </c>
      <c r="S21" s="34">
        <f t="shared" si="2"/>
        <v>100</v>
      </c>
      <c r="T21" s="35">
        <f t="shared" si="3"/>
        <v>87.505</v>
      </c>
      <c r="U21" s="37"/>
    </row>
    <row r="22">
      <c r="A22" s="38" t="s">
        <v>56</v>
      </c>
      <c r="B22" s="28">
        <v>0.0</v>
      </c>
      <c r="C22" s="28">
        <v>0.0</v>
      </c>
      <c r="D22" s="28">
        <v>11.0</v>
      </c>
      <c r="E22" s="28">
        <v>0.95</v>
      </c>
      <c r="F22" s="28">
        <v>0.0</v>
      </c>
      <c r="G22" s="28">
        <v>0.0</v>
      </c>
      <c r="H22" s="28">
        <v>0.0</v>
      </c>
      <c r="I22" s="28">
        <v>0.0</v>
      </c>
      <c r="J22" s="28">
        <v>0.0</v>
      </c>
      <c r="K22" s="28">
        <v>0.0</v>
      </c>
      <c r="L22" s="30">
        <v>0.05</v>
      </c>
      <c r="M22" s="31">
        <f t="shared" ref="M22:M34" si="5">sum(C22+E22+G22+I22+K22+L22)</f>
        <v>1</v>
      </c>
      <c r="N22" s="32">
        <v>0.0</v>
      </c>
      <c r="O22" s="32">
        <v>0.0</v>
      </c>
      <c r="P22" s="32">
        <v>0.0</v>
      </c>
      <c r="Q22" s="32">
        <v>37.04</v>
      </c>
      <c r="R22" s="32">
        <v>62.96</v>
      </c>
      <c r="S22" s="34">
        <f t="shared" si="2"/>
        <v>100</v>
      </c>
      <c r="T22" s="35">
        <f t="shared" si="3"/>
        <v>91.296</v>
      </c>
      <c r="U22" s="37"/>
    </row>
    <row r="23">
      <c r="A23" s="38" t="s">
        <v>57</v>
      </c>
      <c r="B23" s="28">
        <v>11.0</v>
      </c>
      <c r="C23" s="28">
        <v>0.25</v>
      </c>
      <c r="D23" s="28">
        <v>1.0</v>
      </c>
      <c r="E23" s="28">
        <v>0.2</v>
      </c>
      <c r="F23" s="28">
        <v>0.0</v>
      </c>
      <c r="G23" s="28">
        <v>0.0</v>
      </c>
      <c r="H23" s="28">
        <v>2.0</v>
      </c>
      <c r="I23" s="28">
        <v>0.5</v>
      </c>
      <c r="J23" s="28">
        <v>0.0</v>
      </c>
      <c r="K23" s="28">
        <v>0.0</v>
      </c>
      <c r="L23" s="30">
        <v>0.05</v>
      </c>
      <c r="M23" s="31">
        <f t="shared" si="5"/>
        <v>1</v>
      </c>
      <c r="N23" s="32">
        <v>0.0</v>
      </c>
      <c r="O23" s="32">
        <v>0.0</v>
      </c>
      <c r="P23" s="32">
        <v>0.0</v>
      </c>
      <c r="Q23" s="32">
        <v>63.64</v>
      </c>
      <c r="R23" s="32">
        <v>36.36</v>
      </c>
      <c r="S23" s="34">
        <f t="shared" si="2"/>
        <v>100</v>
      </c>
      <c r="T23" s="35">
        <f t="shared" si="3"/>
        <v>88.636</v>
      </c>
      <c r="U23" s="37"/>
    </row>
    <row r="24">
      <c r="A24" s="38" t="s">
        <v>58</v>
      </c>
      <c r="B24" s="28">
        <v>0.0</v>
      </c>
      <c r="C24" s="28">
        <v>0.0</v>
      </c>
      <c r="D24" s="28">
        <v>3.0</v>
      </c>
      <c r="E24" s="28">
        <v>0.84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30">
        <v>0.16</v>
      </c>
      <c r="M24" s="31">
        <f t="shared" si="5"/>
        <v>1</v>
      </c>
      <c r="N24" s="32">
        <v>0.0</v>
      </c>
      <c r="O24" s="32">
        <v>0.0</v>
      </c>
      <c r="P24" s="32">
        <v>0.0</v>
      </c>
      <c r="Q24" s="32">
        <v>11.11</v>
      </c>
      <c r="R24" s="32">
        <v>88.89</v>
      </c>
      <c r="S24" s="34">
        <f t="shared" si="2"/>
        <v>100</v>
      </c>
      <c r="T24" s="35">
        <f t="shared" si="3"/>
        <v>93.889</v>
      </c>
      <c r="U24" s="37"/>
    </row>
    <row r="25">
      <c r="A25" s="38" t="s">
        <v>59</v>
      </c>
      <c r="B25" s="28">
        <v>14.0</v>
      </c>
      <c r="C25" s="28">
        <v>0.1</v>
      </c>
      <c r="D25" s="28">
        <v>0.0</v>
      </c>
      <c r="E25" s="28">
        <v>0.0</v>
      </c>
      <c r="F25" s="28">
        <v>1.0</v>
      </c>
      <c r="G25" s="28">
        <v>0.3</v>
      </c>
      <c r="H25" s="28">
        <v>3.0</v>
      </c>
      <c r="I25" s="28">
        <v>0.5</v>
      </c>
      <c r="J25" s="28">
        <v>14.0</v>
      </c>
      <c r="K25" s="28">
        <v>0.1</v>
      </c>
      <c r="L25" s="30">
        <v>0.0</v>
      </c>
      <c r="M25" s="31">
        <f t="shared" si="5"/>
        <v>1</v>
      </c>
      <c r="N25" s="32">
        <v>0.95</v>
      </c>
      <c r="O25" s="32">
        <v>0.47</v>
      </c>
      <c r="P25" s="32">
        <v>3.32</v>
      </c>
      <c r="Q25" s="32">
        <v>15.64</v>
      </c>
      <c r="R25" s="32">
        <v>79.62</v>
      </c>
      <c r="S25" s="34">
        <f t="shared" si="2"/>
        <v>100</v>
      </c>
      <c r="T25" s="35">
        <f t="shared" si="3"/>
        <v>92.0135</v>
      </c>
      <c r="U25" s="37"/>
    </row>
    <row r="26">
      <c r="A26" s="38" t="s">
        <v>60</v>
      </c>
      <c r="B26" s="28">
        <v>10.0</v>
      </c>
      <c r="C26" s="28">
        <v>0.15</v>
      </c>
      <c r="D26" s="28">
        <v>0.0</v>
      </c>
      <c r="E26" s="28">
        <v>0.0</v>
      </c>
      <c r="F26" s="28">
        <v>1.0</v>
      </c>
      <c r="G26" s="28">
        <v>0.3</v>
      </c>
      <c r="H26" s="28">
        <v>2.0</v>
      </c>
      <c r="I26" s="28">
        <v>0.4</v>
      </c>
      <c r="J26" s="28">
        <v>0.0</v>
      </c>
      <c r="K26" s="28">
        <v>0.0</v>
      </c>
      <c r="L26" s="30">
        <v>0.15</v>
      </c>
      <c r="M26" s="31">
        <f t="shared" si="5"/>
        <v>1</v>
      </c>
      <c r="N26" s="32">
        <v>0.0</v>
      </c>
      <c r="O26" s="32">
        <v>0.0</v>
      </c>
      <c r="P26" s="32">
        <v>17.39</v>
      </c>
      <c r="Q26" s="32">
        <v>34.78</v>
      </c>
      <c r="R26" s="32">
        <v>47.83</v>
      </c>
      <c r="S26" s="34">
        <f t="shared" si="2"/>
        <v>100</v>
      </c>
      <c r="T26" s="35">
        <f t="shared" si="3"/>
        <v>88.044</v>
      </c>
      <c r="U26" s="37"/>
    </row>
    <row r="27">
      <c r="A27" s="38" t="s">
        <v>61</v>
      </c>
      <c r="B27" s="28">
        <v>10.0</v>
      </c>
      <c r="C27" s="28">
        <v>0.15</v>
      </c>
      <c r="D27" s="28">
        <v>0.0</v>
      </c>
      <c r="E27" s="28">
        <v>0.0</v>
      </c>
      <c r="F27" s="28">
        <v>1.0</v>
      </c>
      <c r="G27" s="28">
        <v>0.3</v>
      </c>
      <c r="H27" s="28">
        <v>2.0</v>
      </c>
      <c r="I27" s="28">
        <v>0.4</v>
      </c>
      <c r="J27" s="28">
        <v>0.0</v>
      </c>
      <c r="K27" s="28">
        <v>0.0</v>
      </c>
      <c r="L27" s="30">
        <v>0.15</v>
      </c>
      <c r="M27" s="31">
        <f t="shared" si="5"/>
        <v>1</v>
      </c>
      <c r="N27" s="32">
        <v>0.0</v>
      </c>
      <c r="O27" s="32">
        <v>0.0</v>
      </c>
      <c r="P27" s="32">
        <v>5.41</v>
      </c>
      <c r="Q27" s="32">
        <v>37.84</v>
      </c>
      <c r="R27" s="32">
        <v>56.75</v>
      </c>
      <c r="S27" s="34">
        <f t="shared" si="2"/>
        <v>100</v>
      </c>
      <c r="T27" s="35">
        <f t="shared" si="3"/>
        <v>90.134</v>
      </c>
      <c r="U27" s="37"/>
    </row>
    <row r="28">
      <c r="A28" s="38" t="s">
        <v>62</v>
      </c>
      <c r="B28" s="28">
        <v>11.0</v>
      </c>
      <c r="C28" s="28">
        <v>0.15</v>
      </c>
      <c r="D28" s="28">
        <v>0.0</v>
      </c>
      <c r="E28" s="28">
        <v>0.0</v>
      </c>
      <c r="F28" s="28">
        <v>1.0</v>
      </c>
      <c r="G28" s="28">
        <v>0.2125</v>
      </c>
      <c r="H28" s="28">
        <v>3.0</v>
      </c>
      <c r="I28" s="28">
        <v>0.6375</v>
      </c>
      <c r="J28" s="28">
        <v>0.0</v>
      </c>
      <c r="K28" s="28">
        <v>0.0</v>
      </c>
      <c r="L28" s="30">
        <v>0.0</v>
      </c>
      <c r="M28" s="31">
        <f t="shared" si="5"/>
        <v>1</v>
      </c>
      <c r="N28" s="32">
        <v>0.0</v>
      </c>
      <c r="O28" s="32">
        <v>0.0</v>
      </c>
      <c r="P28" s="32">
        <v>26.67</v>
      </c>
      <c r="Q28" s="32">
        <v>60.0</v>
      </c>
      <c r="R28" s="32">
        <v>13.33</v>
      </c>
      <c r="S28" s="34">
        <f t="shared" si="2"/>
        <v>100</v>
      </c>
      <c r="T28" s="35">
        <f t="shared" si="3"/>
        <v>83.666</v>
      </c>
      <c r="U28" s="37"/>
    </row>
    <row r="29">
      <c r="A29" s="38" t="s">
        <v>63</v>
      </c>
      <c r="B29" s="28">
        <v>11.0</v>
      </c>
      <c r="C29" s="28">
        <v>0.5</v>
      </c>
      <c r="D29" s="28">
        <v>0.0</v>
      </c>
      <c r="E29" s="28">
        <v>0.0</v>
      </c>
      <c r="F29" s="28">
        <v>0.0</v>
      </c>
      <c r="G29" s="28">
        <v>0.0</v>
      </c>
      <c r="H29" s="28">
        <v>3.0</v>
      </c>
      <c r="I29" s="28">
        <v>0.5</v>
      </c>
      <c r="J29" s="28">
        <v>0.0</v>
      </c>
      <c r="K29" s="28">
        <v>0.0</v>
      </c>
      <c r="L29" s="30">
        <v>0.0</v>
      </c>
      <c r="M29" s="31">
        <f t="shared" si="5"/>
        <v>1</v>
      </c>
      <c r="N29" s="32">
        <v>1.31</v>
      </c>
      <c r="O29" s="32">
        <v>0.0</v>
      </c>
      <c r="P29" s="32">
        <v>1.96</v>
      </c>
      <c r="Q29" s="32">
        <v>11.76</v>
      </c>
      <c r="R29" s="32">
        <v>84.97</v>
      </c>
      <c r="S29" s="34">
        <f t="shared" si="2"/>
        <v>100</v>
      </c>
      <c r="T29" s="35">
        <f t="shared" si="3"/>
        <v>92.5805</v>
      </c>
      <c r="U29" s="37"/>
    </row>
    <row r="30">
      <c r="A30" s="39" t="s">
        <v>64</v>
      </c>
      <c r="B30" s="28">
        <v>14.0</v>
      </c>
      <c r="C30" s="28">
        <v>0.1</v>
      </c>
      <c r="D30" s="28">
        <v>2.0</v>
      </c>
      <c r="E30" s="28">
        <v>0.15</v>
      </c>
      <c r="F30" s="28">
        <v>1.0</v>
      </c>
      <c r="G30" s="28">
        <v>0.35</v>
      </c>
      <c r="H30" s="28">
        <v>1.0</v>
      </c>
      <c r="I30" s="28">
        <v>0.2</v>
      </c>
      <c r="J30" s="28">
        <v>4.0</v>
      </c>
      <c r="K30" s="28">
        <v>0.15</v>
      </c>
      <c r="L30" s="30">
        <v>0.05</v>
      </c>
      <c r="M30" s="31">
        <f t="shared" si="5"/>
        <v>1</v>
      </c>
      <c r="N30" s="32">
        <v>0.71</v>
      </c>
      <c r="O30" s="32">
        <v>0.0</v>
      </c>
      <c r="P30" s="32">
        <v>13.57</v>
      </c>
      <c r="Q30" s="32">
        <v>51.43</v>
      </c>
      <c r="R30" s="32">
        <v>34.29</v>
      </c>
      <c r="S30" s="34">
        <f t="shared" si="2"/>
        <v>100</v>
      </c>
      <c r="T30" s="35">
        <f t="shared" si="3"/>
        <v>86.6815</v>
      </c>
      <c r="U30" s="37"/>
    </row>
    <row r="31">
      <c r="A31" s="38" t="s">
        <v>65</v>
      </c>
      <c r="B31" s="28">
        <v>13.0</v>
      </c>
      <c r="C31" s="29">
        <v>0.1</v>
      </c>
      <c r="D31" s="28">
        <v>0.0</v>
      </c>
      <c r="E31" s="29">
        <v>0.0</v>
      </c>
      <c r="F31" s="28">
        <v>1.0</v>
      </c>
      <c r="G31" s="29">
        <v>0.25</v>
      </c>
      <c r="H31" s="28">
        <v>2.0</v>
      </c>
      <c r="I31" s="29">
        <v>0.4</v>
      </c>
      <c r="J31" s="28">
        <v>15.0</v>
      </c>
      <c r="K31" s="29">
        <v>0.15</v>
      </c>
      <c r="L31" s="30">
        <v>0.1</v>
      </c>
      <c r="M31" s="31">
        <f t="shared" si="5"/>
        <v>1</v>
      </c>
      <c r="N31" s="32">
        <v>2.74</v>
      </c>
      <c r="O31" s="32">
        <v>5.48</v>
      </c>
      <c r="P31" s="32">
        <v>41.1</v>
      </c>
      <c r="Q31" s="32">
        <v>35.62</v>
      </c>
      <c r="R31" s="32">
        <v>15.06</v>
      </c>
      <c r="S31" s="34">
        <f t="shared" si="2"/>
        <v>100</v>
      </c>
      <c r="T31" s="35">
        <f t="shared" si="3"/>
        <v>79.793</v>
      </c>
      <c r="U31" s="37"/>
    </row>
    <row r="32">
      <c r="A32" s="38" t="s">
        <v>66</v>
      </c>
      <c r="B32" s="28">
        <v>0.0</v>
      </c>
      <c r="C32" s="29">
        <v>0.0</v>
      </c>
      <c r="D32" s="28">
        <v>0.0</v>
      </c>
      <c r="E32" s="29">
        <v>0.0</v>
      </c>
      <c r="F32" s="28">
        <v>1.0</v>
      </c>
      <c r="G32" s="29">
        <v>0.2</v>
      </c>
      <c r="H32" s="28">
        <v>3.0</v>
      </c>
      <c r="I32" s="29">
        <v>0.55</v>
      </c>
      <c r="J32" s="28">
        <v>15.0</v>
      </c>
      <c r="K32" s="29">
        <v>0.15</v>
      </c>
      <c r="L32" s="30">
        <v>0.1</v>
      </c>
      <c r="M32" s="31">
        <f t="shared" si="5"/>
        <v>1</v>
      </c>
      <c r="N32" s="32">
        <v>1.56</v>
      </c>
      <c r="O32" s="32">
        <v>10.94</v>
      </c>
      <c r="P32" s="32">
        <v>18.75</v>
      </c>
      <c r="Q32" s="32">
        <v>42.19</v>
      </c>
      <c r="R32" s="32">
        <v>26.56</v>
      </c>
      <c r="S32" s="34">
        <f t="shared" si="2"/>
        <v>100</v>
      </c>
      <c r="T32" s="35">
        <f t="shared" si="3"/>
        <v>82.735</v>
      </c>
      <c r="U32" s="37"/>
    </row>
    <row r="33">
      <c r="A33" s="38" t="s">
        <v>67</v>
      </c>
      <c r="B33" s="28">
        <v>12.0</v>
      </c>
      <c r="C33" s="29">
        <v>0.05</v>
      </c>
      <c r="D33" s="28">
        <v>0.0</v>
      </c>
      <c r="E33" s="29">
        <v>0.0</v>
      </c>
      <c r="F33" s="28">
        <v>0.0</v>
      </c>
      <c r="G33" s="29">
        <v>0.0</v>
      </c>
      <c r="H33" s="28">
        <v>3.0</v>
      </c>
      <c r="I33" s="29">
        <v>0.8</v>
      </c>
      <c r="J33" s="28">
        <v>15.0</v>
      </c>
      <c r="K33" s="29">
        <v>0.15</v>
      </c>
      <c r="L33" s="30">
        <v>0.0</v>
      </c>
      <c r="M33" s="31">
        <f t="shared" si="5"/>
        <v>1</v>
      </c>
      <c r="N33" s="32">
        <v>1.39</v>
      </c>
      <c r="O33" s="32">
        <v>11.11</v>
      </c>
      <c r="P33" s="32">
        <v>33.33</v>
      </c>
      <c r="Q33" s="32">
        <v>36.11</v>
      </c>
      <c r="R33" s="32">
        <v>18.06</v>
      </c>
      <c r="S33" s="34">
        <f t="shared" si="2"/>
        <v>100</v>
      </c>
      <c r="T33" s="35">
        <f t="shared" si="3"/>
        <v>80.4865</v>
      </c>
      <c r="U33" s="37"/>
    </row>
    <row r="34">
      <c r="A34" s="39" t="s">
        <v>68</v>
      </c>
      <c r="B34" s="28">
        <v>10.0</v>
      </c>
      <c r="C34" s="29">
        <v>0.19</v>
      </c>
      <c r="D34" s="28">
        <v>0.0</v>
      </c>
      <c r="E34" s="29">
        <v>0.0</v>
      </c>
      <c r="F34" s="28">
        <v>0.0</v>
      </c>
      <c r="G34" s="29">
        <v>0.0</v>
      </c>
      <c r="H34" s="28">
        <v>3.0</v>
      </c>
      <c r="I34" s="29">
        <v>0.6</v>
      </c>
      <c r="J34" s="28">
        <v>7.0</v>
      </c>
      <c r="K34" s="29">
        <v>0.21</v>
      </c>
      <c r="L34" s="30">
        <v>0.0</v>
      </c>
      <c r="M34" s="31">
        <f t="shared" si="5"/>
        <v>1</v>
      </c>
      <c r="N34" s="32">
        <v>1.96</v>
      </c>
      <c r="O34" s="32">
        <v>1.96</v>
      </c>
      <c r="P34" s="32">
        <v>3.92</v>
      </c>
      <c r="Q34" s="32">
        <v>23.53</v>
      </c>
      <c r="R34" s="32">
        <v>68.63</v>
      </c>
      <c r="S34" s="34">
        <f t="shared" si="2"/>
        <v>100</v>
      </c>
      <c r="T34" s="35">
        <f t="shared" si="3"/>
        <v>90.001</v>
      </c>
      <c r="U34" s="37"/>
    </row>
    <row r="35">
      <c r="A35" s="40" t="s">
        <v>69</v>
      </c>
      <c r="B35" s="28">
        <v>8.0</v>
      </c>
      <c r="C35" s="29">
        <v>0.08</v>
      </c>
      <c r="D35" s="28">
        <v>1.0</v>
      </c>
      <c r="E35" s="29">
        <v>0.15</v>
      </c>
      <c r="F35" s="28">
        <v>1.0</v>
      </c>
      <c r="G35" s="29">
        <v>0.3</v>
      </c>
      <c r="H35" s="28">
        <v>2.0</v>
      </c>
      <c r="I35" s="29">
        <v>0.44</v>
      </c>
      <c r="J35" s="28">
        <v>0.0</v>
      </c>
      <c r="K35" s="29">
        <v>0.0</v>
      </c>
      <c r="L35" s="30">
        <v>0.03</v>
      </c>
      <c r="M35" s="31">
        <f>SUM(C35,E35,G35,I35,K35,L35)</f>
        <v>1</v>
      </c>
      <c r="N35" s="32">
        <v>0.0</v>
      </c>
      <c r="O35" s="32">
        <v>11.37</v>
      </c>
      <c r="P35" s="32">
        <v>9.09</v>
      </c>
      <c r="Q35" s="32">
        <v>36.36</v>
      </c>
      <c r="R35" s="32">
        <v>43.18</v>
      </c>
      <c r="S35" s="34">
        <f t="shared" si="2"/>
        <v>100</v>
      </c>
      <c r="T35" s="35">
        <f t="shared" si="3"/>
        <v>86.135</v>
      </c>
      <c r="U35" s="37"/>
    </row>
    <row r="36">
      <c r="A36" s="39" t="s">
        <v>70</v>
      </c>
      <c r="B36" s="28">
        <v>13.0</v>
      </c>
      <c r="C36" s="29">
        <v>0.27</v>
      </c>
      <c r="D36" s="28">
        <v>0.0</v>
      </c>
      <c r="E36" s="29">
        <v>0.0</v>
      </c>
      <c r="F36" s="28">
        <v>1.0</v>
      </c>
      <c r="G36" s="29">
        <v>0.3</v>
      </c>
      <c r="H36" s="28">
        <v>2.0</v>
      </c>
      <c r="I36" s="29">
        <v>0.38</v>
      </c>
      <c r="J36" s="28">
        <v>0.0</v>
      </c>
      <c r="K36" s="29">
        <v>0.0</v>
      </c>
      <c r="L36" s="30">
        <v>0.05</v>
      </c>
      <c r="M36" s="31">
        <f t="shared" ref="M36:M102" si="6">sum(C36+E36+G36+I36+K36+L36)</f>
        <v>1</v>
      </c>
      <c r="N36" s="32">
        <v>3.57</v>
      </c>
      <c r="O36" s="32">
        <v>3.57</v>
      </c>
      <c r="P36" s="32">
        <v>17.86</v>
      </c>
      <c r="Q36" s="32">
        <v>32.14</v>
      </c>
      <c r="R36" s="32">
        <v>42.86</v>
      </c>
      <c r="S36" s="34">
        <f t="shared" si="2"/>
        <v>100</v>
      </c>
      <c r="T36" s="35">
        <f t="shared" si="3"/>
        <v>84.8225</v>
      </c>
      <c r="U36" s="37"/>
    </row>
    <row r="37">
      <c r="A37" s="38" t="s">
        <v>71</v>
      </c>
      <c r="B37" s="28">
        <v>12.0</v>
      </c>
      <c r="C37" s="29">
        <v>0.4</v>
      </c>
      <c r="D37" s="28">
        <v>2.0</v>
      </c>
      <c r="E37" s="29">
        <v>0.3</v>
      </c>
      <c r="F37" s="28">
        <v>0.0</v>
      </c>
      <c r="G37" s="29">
        <v>0.0</v>
      </c>
      <c r="H37" s="28">
        <v>2.0</v>
      </c>
      <c r="I37" s="29">
        <v>0.3</v>
      </c>
      <c r="J37" s="28">
        <v>0.0</v>
      </c>
      <c r="K37" s="29">
        <v>0.0</v>
      </c>
      <c r="L37" s="30">
        <v>0.0</v>
      </c>
      <c r="M37" s="31">
        <f t="shared" si="6"/>
        <v>1</v>
      </c>
      <c r="N37" s="32">
        <v>0.0</v>
      </c>
      <c r="O37" s="32">
        <f>100*1/24</f>
        <v>4.166666667</v>
      </c>
      <c r="P37" s="32">
        <v>0.0</v>
      </c>
      <c r="Q37" s="32">
        <f>100*10/24</f>
        <v>41.66666667</v>
      </c>
      <c r="R37" s="32">
        <f>100*13/24</f>
        <v>54.16666667</v>
      </c>
      <c r="S37" s="34">
        <f t="shared" si="2"/>
        <v>100</v>
      </c>
      <c r="T37" s="35">
        <f t="shared" si="3"/>
        <v>89.58333333</v>
      </c>
      <c r="U37" s="37"/>
    </row>
    <row r="38">
      <c r="A38" s="38" t="s">
        <v>72</v>
      </c>
      <c r="B38" s="28">
        <v>5.0</v>
      </c>
      <c r="C38" s="29">
        <v>0.5</v>
      </c>
      <c r="D38" s="28">
        <v>0.0</v>
      </c>
      <c r="E38" s="29">
        <v>0.0</v>
      </c>
      <c r="F38" s="28">
        <v>0.0</v>
      </c>
      <c r="G38" s="29">
        <v>0.0</v>
      </c>
      <c r="H38" s="28">
        <v>2.0</v>
      </c>
      <c r="I38" s="29">
        <v>0.5</v>
      </c>
      <c r="J38" s="28">
        <v>0.0</v>
      </c>
      <c r="K38" s="29">
        <v>0.0</v>
      </c>
      <c r="L38" s="30">
        <v>0.0</v>
      </c>
      <c r="M38" s="31">
        <f t="shared" si="6"/>
        <v>1</v>
      </c>
      <c r="N38" s="41">
        <f>100*1/(36+14+11+1)</f>
        <v>1.612903226</v>
      </c>
      <c r="O38" s="42">
        <f>100*0/(36+14+11+1)</f>
        <v>0</v>
      </c>
      <c r="P38" s="42">
        <f>100*11/(36+14+11+1)</f>
        <v>17.74193548</v>
      </c>
      <c r="Q38" s="42">
        <f>100*14/(36+14+11+1)</f>
        <v>22.58064516</v>
      </c>
      <c r="R38" s="42">
        <f>100*36/(36+14+11+1)</f>
        <v>58.06451613</v>
      </c>
      <c r="S38" s="34">
        <f t="shared" si="2"/>
        <v>100</v>
      </c>
      <c r="T38" s="35">
        <f t="shared" si="3"/>
        <v>88.14516129</v>
      </c>
      <c r="U38" s="37"/>
    </row>
    <row r="39">
      <c r="A39" s="39" t="s">
        <v>73</v>
      </c>
      <c r="B39" s="28">
        <v>21.0</v>
      </c>
      <c r="C39" s="29">
        <v>0.7</v>
      </c>
      <c r="D39" s="28">
        <v>1.0</v>
      </c>
      <c r="E39" s="29">
        <v>0.3</v>
      </c>
      <c r="F39" s="28">
        <v>0.0</v>
      </c>
      <c r="G39" s="29">
        <v>0.0</v>
      </c>
      <c r="H39" s="28">
        <v>0.0</v>
      </c>
      <c r="I39" s="29">
        <v>0.0</v>
      </c>
      <c r="J39" s="28">
        <v>0.0</v>
      </c>
      <c r="K39" s="29">
        <v>0.0</v>
      </c>
      <c r="L39" s="30">
        <v>0.0</v>
      </c>
      <c r="M39" s="31">
        <f t="shared" si="6"/>
        <v>1</v>
      </c>
      <c r="N39" s="32">
        <v>3.77</v>
      </c>
      <c r="O39" s="32">
        <v>1.89</v>
      </c>
      <c r="P39" s="32">
        <v>3.77</v>
      </c>
      <c r="Q39" s="32">
        <v>15.09</v>
      </c>
      <c r="R39" s="32">
        <v>75.48</v>
      </c>
      <c r="S39" s="34">
        <f t="shared" si="2"/>
        <v>100</v>
      </c>
      <c r="T39" s="35">
        <f t="shared" si="3"/>
        <v>89.7195</v>
      </c>
      <c r="U39" s="37"/>
    </row>
    <row r="40">
      <c r="A40" s="38" t="s">
        <v>74</v>
      </c>
      <c r="B40" s="28">
        <v>15.0</v>
      </c>
      <c r="C40" s="29">
        <v>0.15</v>
      </c>
      <c r="D40" s="28">
        <v>3.0</v>
      </c>
      <c r="E40" s="29">
        <v>0.3</v>
      </c>
      <c r="F40" s="28">
        <v>1.0</v>
      </c>
      <c r="G40" s="29">
        <v>0.2</v>
      </c>
      <c r="H40" s="28">
        <v>1.0</v>
      </c>
      <c r="I40" s="29">
        <v>0.2</v>
      </c>
      <c r="J40" s="28">
        <v>6.0</v>
      </c>
      <c r="K40" s="29">
        <v>0.15</v>
      </c>
      <c r="L40" s="30">
        <v>0.0</v>
      </c>
      <c r="M40" s="31">
        <f t="shared" si="6"/>
        <v>1</v>
      </c>
      <c r="N40" s="32">
        <v>5.37</v>
      </c>
      <c r="O40" s="32">
        <v>5.37</v>
      </c>
      <c r="P40" s="32">
        <v>8.72</v>
      </c>
      <c r="Q40" s="32">
        <v>26.85</v>
      </c>
      <c r="R40" s="32">
        <v>53.69</v>
      </c>
      <c r="S40" s="34">
        <f t="shared" si="2"/>
        <v>100</v>
      </c>
      <c r="T40" s="35">
        <f t="shared" si="3"/>
        <v>85.4695</v>
      </c>
      <c r="U40" s="37"/>
    </row>
    <row r="41">
      <c r="A41" s="38" t="s">
        <v>75</v>
      </c>
      <c r="B41" s="28">
        <v>15.0</v>
      </c>
      <c r="C41" s="29">
        <v>0.15</v>
      </c>
      <c r="D41" s="28">
        <v>3.0</v>
      </c>
      <c r="E41" s="29">
        <v>0.3</v>
      </c>
      <c r="F41" s="28">
        <v>1.0</v>
      </c>
      <c r="G41" s="29">
        <v>0.2</v>
      </c>
      <c r="H41" s="28">
        <v>1.0</v>
      </c>
      <c r="I41" s="29">
        <v>0.2</v>
      </c>
      <c r="J41" s="28">
        <v>6.0</v>
      </c>
      <c r="K41" s="29">
        <v>0.15</v>
      </c>
      <c r="L41" s="30">
        <v>0.0</v>
      </c>
      <c r="M41" s="31">
        <f t="shared" si="6"/>
        <v>1</v>
      </c>
      <c r="N41" s="32">
        <v>3.21</v>
      </c>
      <c r="O41" s="32">
        <v>1.92</v>
      </c>
      <c r="P41" s="32">
        <v>10.9</v>
      </c>
      <c r="Q41" s="32">
        <v>26.28</v>
      </c>
      <c r="R41" s="32">
        <v>57.69</v>
      </c>
      <c r="S41" s="34">
        <f t="shared" si="2"/>
        <v>100</v>
      </c>
      <c r="T41" s="35">
        <f t="shared" si="3"/>
        <v>87.5295</v>
      </c>
      <c r="U41" s="37"/>
    </row>
    <row r="42">
      <c r="A42" s="38" t="s">
        <v>76</v>
      </c>
      <c r="B42" s="28">
        <v>15.0</v>
      </c>
      <c r="C42" s="29">
        <v>0.15</v>
      </c>
      <c r="D42" s="28">
        <v>3.0</v>
      </c>
      <c r="E42" s="29">
        <v>0.3</v>
      </c>
      <c r="F42" s="28">
        <v>1.0</v>
      </c>
      <c r="G42" s="29">
        <v>0.2</v>
      </c>
      <c r="H42" s="28">
        <v>1.0</v>
      </c>
      <c r="I42" s="29">
        <v>0.2</v>
      </c>
      <c r="J42" s="28">
        <v>6.0</v>
      </c>
      <c r="K42" s="29">
        <v>0.15</v>
      </c>
      <c r="L42" s="30">
        <v>0.0</v>
      </c>
      <c r="M42" s="31">
        <f t="shared" si="6"/>
        <v>1</v>
      </c>
      <c r="N42" s="32">
        <v>6.54</v>
      </c>
      <c r="O42" s="32">
        <v>2.61</v>
      </c>
      <c r="P42" s="32">
        <v>15.03</v>
      </c>
      <c r="Q42" s="32">
        <v>17.65</v>
      </c>
      <c r="R42" s="32">
        <v>58.17</v>
      </c>
      <c r="S42" s="34">
        <f t="shared" si="2"/>
        <v>100</v>
      </c>
      <c r="T42" s="35">
        <f t="shared" si="3"/>
        <v>85.195</v>
      </c>
      <c r="U42" s="37"/>
    </row>
    <row r="43">
      <c r="A43" s="40" t="s">
        <v>77</v>
      </c>
      <c r="B43" s="28">
        <v>7.0</v>
      </c>
      <c r="C43" s="29">
        <v>0.5</v>
      </c>
      <c r="D43" s="28">
        <v>0.0</v>
      </c>
      <c r="E43" s="29">
        <v>0.0</v>
      </c>
      <c r="F43" s="28">
        <v>1.0</v>
      </c>
      <c r="G43" s="29">
        <v>0.3</v>
      </c>
      <c r="H43" s="28">
        <v>1.0</v>
      </c>
      <c r="I43" s="29">
        <v>0.2</v>
      </c>
      <c r="J43" s="28">
        <v>0.0</v>
      </c>
      <c r="K43" s="29">
        <v>0.0</v>
      </c>
      <c r="L43" s="30">
        <v>0.0</v>
      </c>
      <c r="M43" s="31">
        <f t="shared" si="6"/>
        <v>1</v>
      </c>
      <c r="N43" s="32">
        <v>0.0</v>
      </c>
      <c r="O43" s="32">
        <v>2.5</v>
      </c>
      <c r="P43" s="32">
        <v>7.5</v>
      </c>
      <c r="Q43" s="32">
        <v>40.0</v>
      </c>
      <c r="R43" s="32">
        <v>50.0</v>
      </c>
      <c r="S43" s="34">
        <f t="shared" si="2"/>
        <v>100</v>
      </c>
      <c r="T43" s="35">
        <f t="shared" si="3"/>
        <v>88.75</v>
      </c>
      <c r="U43" s="37"/>
    </row>
    <row r="44">
      <c r="A44" s="38" t="s">
        <v>78</v>
      </c>
      <c r="B44" s="28">
        <v>7.0</v>
      </c>
      <c r="C44" s="29">
        <v>0.55</v>
      </c>
      <c r="D44" s="28">
        <v>0.0</v>
      </c>
      <c r="E44" s="29">
        <v>0.0</v>
      </c>
      <c r="F44" s="28">
        <v>0.0</v>
      </c>
      <c r="G44" s="29">
        <v>0.0</v>
      </c>
      <c r="H44" s="28">
        <v>2.0</v>
      </c>
      <c r="I44" s="29">
        <v>0.45</v>
      </c>
      <c r="J44" s="28">
        <v>0.0</v>
      </c>
      <c r="K44" s="29">
        <v>0.0</v>
      </c>
      <c r="L44" s="30">
        <v>0.0</v>
      </c>
      <c r="M44" s="31">
        <f t="shared" si="6"/>
        <v>1</v>
      </c>
      <c r="N44" s="32">
        <v>0.0</v>
      </c>
      <c r="O44" s="32">
        <v>0.0</v>
      </c>
      <c r="P44" s="32">
        <v>18.18</v>
      </c>
      <c r="Q44" s="32">
        <v>36.37</v>
      </c>
      <c r="R44" s="32">
        <v>45.45</v>
      </c>
      <c r="S44" s="34">
        <f t="shared" si="2"/>
        <v>100</v>
      </c>
      <c r="T44" s="35">
        <f t="shared" si="3"/>
        <v>87.727</v>
      </c>
      <c r="U44" s="37"/>
    </row>
    <row r="45">
      <c r="A45" s="39" t="s">
        <v>79</v>
      </c>
      <c r="B45" s="28">
        <v>11.0</v>
      </c>
      <c r="C45" s="29">
        <v>0.22</v>
      </c>
      <c r="D45" s="28">
        <v>0.0</v>
      </c>
      <c r="E45" s="29">
        <v>0.0</v>
      </c>
      <c r="F45" s="28">
        <v>1.0</v>
      </c>
      <c r="G45" s="29">
        <v>0.24</v>
      </c>
      <c r="H45" s="28">
        <v>2.0</v>
      </c>
      <c r="I45" s="29">
        <v>0.49</v>
      </c>
      <c r="J45" s="28">
        <v>10.0</v>
      </c>
      <c r="K45" s="29">
        <v>0.05</v>
      </c>
      <c r="L45" s="30">
        <v>0.0</v>
      </c>
      <c r="M45" s="31">
        <f t="shared" si="6"/>
        <v>1</v>
      </c>
      <c r="N45" s="32">
        <v>2.42</v>
      </c>
      <c r="O45" s="32">
        <v>5.14</v>
      </c>
      <c r="P45" s="32">
        <v>18.72</v>
      </c>
      <c r="Q45" s="32">
        <v>35.35</v>
      </c>
      <c r="R45" s="32">
        <v>38.37</v>
      </c>
      <c r="S45" s="34">
        <f t="shared" si="2"/>
        <v>100</v>
      </c>
      <c r="T45" s="35">
        <f t="shared" si="3"/>
        <v>84.606</v>
      </c>
      <c r="U45" s="37"/>
    </row>
    <row r="46">
      <c r="A46" s="38" t="s">
        <v>80</v>
      </c>
      <c r="B46" s="28">
        <v>0.0</v>
      </c>
      <c r="C46" s="29">
        <v>0.0</v>
      </c>
      <c r="D46" s="28">
        <v>4.0</v>
      </c>
      <c r="E46" s="29">
        <v>0.6</v>
      </c>
      <c r="F46" s="28">
        <v>0.0</v>
      </c>
      <c r="G46" s="29">
        <v>0.0</v>
      </c>
      <c r="H46" s="28">
        <v>0.0</v>
      </c>
      <c r="I46" s="29">
        <v>0.0</v>
      </c>
      <c r="J46" s="28">
        <v>3.0</v>
      </c>
      <c r="K46" s="29">
        <v>0.3</v>
      </c>
      <c r="L46" s="30">
        <v>0.1</v>
      </c>
      <c r="M46" s="31">
        <f t="shared" si="6"/>
        <v>1</v>
      </c>
      <c r="N46" s="32">
        <v>0.0</v>
      </c>
      <c r="O46" s="32">
        <v>0.0</v>
      </c>
      <c r="P46" s="32">
        <v>0.0</v>
      </c>
      <c r="Q46" s="32">
        <f>100/28</f>
        <v>3.571428571</v>
      </c>
      <c r="R46" s="32">
        <f>100*27/28</f>
        <v>96.42857143</v>
      </c>
      <c r="S46" s="34">
        <f t="shared" si="2"/>
        <v>100</v>
      </c>
      <c r="T46" s="35">
        <f t="shared" si="3"/>
        <v>94.64285714</v>
      </c>
      <c r="U46" s="37"/>
    </row>
    <row r="47">
      <c r="A47" s="38" t="s">
        <v>81</v>
      </c>
      <c r="B47" s="28">
        <v>11.0</v>
      </c>
      <c r="C47" s="29">
        <v>0.6</v>
      </c>
      <c r="D47" s="28">
        <v>1.0</v>
      </c>
      <c r="E47" s="29">
        <v>0.4</v>
      </c>
      <c r="F47" s="28">
        <v>0.0</v>
      </c>
      <c r="G47" s="29">
        <v>0.0</v>
      </c>
      <c r="H47" s="28">
        <v>0.0</v>
      </c>
      <c r="I47" s="29">
        <v>0.0</v>
      </c>
      <c r="J47" s="28">
        <v>0.0</v>
      </c>
      <c r="K47" s="29">
        <v>0.0</v>
      </c>
      <c r="L47" s="30">
        <v>0.0</v>
      </c>
      <c r="M47" s="31">
        <f t="shared" si="6"/>
        <v>1</v>
      </c>
      <c r="N47" s="32">
        <v>0.0</v>
      </c>
      <c r="O47" s="32">
        <v>0.0</v>
      </c>
      <c r="P47" s="32">
        <f t="shared" ref="P47:Q47" si="7">1/8*100</f>
        <v>12.5</v>
      </c>
      <c r="Q47" s="32">
        <f t="shared" si="7"/>
        <v>12.5</v>
      </c>
      <c r="R47" s="32">
        <f>6/8*100</f>
        <v>75</v>
      </c>
      <c r="S47" s="34">
        <f t="shared" si="2"/>
        <v>100</v>
      </c>
      <c r="T47" s="35">
        <f t="shared" si="3"/>
        <v>91.25</v>
      </c>
      <c r="U47" s="37"/>
    </row>
    <row r="48">
      <c r="A48" s="38" t="s">
        <v>82</v>
      </c>
      <c r="B48" s="28">
        <v>15.0</v>
      </c>
      <c r="C48" s="29">
        <v>0.05</v>
      </c>
      <c r="D48" s="28">
        <v>1.0</v>
      </c>
      <c r="E48" s="29">
        <v>0.35</v>
      </c>
      <c r="F48" s="28">
        <v>0.0</v>
      </c>
      <c r="G48" s="29">
        <v>0.0</v>
      </c>
      <c r="H48" s="28">
        <v>3.0</v>
      </c>
      <c r="I48" s="29">
        <v>0.6</v>
      </c>
      <c r="J48" s="28">
        <v>0.0</v>
      </c>
      <c r="K48" s="29">
        <v>0.0</v>
      </c>
      <c r="L48" s="30">
        <v>0.0</v>
      </c>
      <c r="M48" s="31">
        <f t="shared" si="6"/>
        <v>1</v>
      </c>
      <c r="N48" s="32">
        <v>0.0</v>
      </c>
      <c r="O48" s="32">
        <v>0.0</v>
      </c>
      <c r="P48" s="32">
        <f>100/48</f>
        <v>2.083333333</v>
      </c>
      <c r="Q48" s="32">
        <f>100*6/48</f>
        <v>12.5</v>
      </c>
      <c r="R48" s="32">
        <f>100*41/48</f>
        <v>85.41666667</v>
      </c>
      <c r="S48" s="34">
        <f t="shared" si="2"/>
        <v>100</v>
      </c>
      <c r="T48" s="35">
        <f t="shared" si="3"/>
        <v>93.33333333</v>
      </c>
      <c r="U48" s="37"/>
    </row>
    <row r="49">
      <c r="A49" s="38" t="s">
        <v>83</v>
      </c>
      <c r="B49" s="28">
        <v>13.0</v>
      </c>
      <c r="C49" s="29">
        <v>0.25</v>
      </c>
      <c r="D49" s="28">
        <v>0.0</v>
      </c>
      <c r="E49" s="29">
        <v>0.0</v>
      </c>
      <c r="F49" s="28">
        <v>1.0</v>
      </c>
      <c r="G49" s="29">
        <v>0.35</v>
      </c>
      <c r="H49" s="28">
        <v>2.0</v>
      </c>
      <c r="I49" s="29">
        <v>0.4</v>
      </c>
      <c r="J49" s="28">
        <v>0.0</v>
      </c>
      <c r="K49" s="29">
        <v>0.0</v>
      </c>
      <c r="L49" s="30">
        <v>0.0</v>
      </c>
      <c r="M49" s="31">
        <f t="shared" si="6"/>
        <v>1</v>
      </c>
      <c r="N49" s="32">
        <v>6.06</v>
      </c>
      <c r="O49" s="32">
        <v>18.18</v>
      </c>
      <c r="P49" s="32">
        <v>24.24</v>
      </c>
      <c r="Q49" s="32">
        <v>18.18</v>
      </c>
      <c r="R49" s="32">
        <v>33.34</v>
      </c>
      <c r="S49" s="34">
        <f t="shared" si="2"/>
        <v>100</v>
      </c>
      <c r="T49" s="35">
        <f t="shared" si="3"/>
        <v>78.941</v>
      </c>
      <c r="U49" s="37"/>
    </row>
    <row r="50">
      <c r="A50" s="39" t="s">
        <v>84</v>
      </c>
      <c r="B50" s="28">
        <v>14.0</v>
      </c>
      <c r="C50" s="29">
        <v>0.15</v>
      </c>
      <c r="D50" s="28">
        <v>0.0</v>
      </c>
      <c r="E50" s="29">
        <v>0.0</v>
      </c>
      <c r="F50" s="28">
        <v>1.0</v>
      </c>
      <c r="G50" s="29">
        <v>0.25</v>
      </c>
      <c r="H50" s="28">
        <v>2.0</v>
      </c>
      <c r="I50" s="29">
        <v>0.45</v>
      </c>
      <c r="J50" s="28">
        <v>42.0</v>
      </c>
      <c r="K50" s="29">
        <v>0.1</v>
      </c>
      <c r="L50" s="30">
        <v>0.05</v>
      </c>
      <c r="M50" s="31">
        <f t="shared" si="6"/>
        <v>1</v>
      </c>
      <c r="N50" s="32">
        <v>6.45</v>
      </c>
      <c r="O50" s="32">
        <v>0.0</v>
      </c>
      <c r="P50" s="32">
        <v>22.58</v>
      </c>
      <c r="Q50" s="32">
        <v>48.39</v>
      </c>
      <c r="R50" s="32">
        <v>22.58</v>
      </c>
      <c r="S50" s="34">
        <f t="shared" si="2"/>
        <v>100</v>
      </c>
      <c r="T50" s="35">
        <f t="shared" si="3"/>
        <v>81.4525</v>
      </c>
      <c r="U50" s="37"/>
      <c r="AA50" s="74"/>
    </row>
    <row r="51">
      <c r="A51" s="40" t="s">
        <v>85</v>
      </c>
      <c r="B51" s="28">
        <v>6.0</v>
      </c>
      <c r="C51" s="29">
        <v>0.15</v>
      </c>
      <c r="D51" s="28">
        <v>5.0</v>
      </c>
      <c r="E51" s="29">
        <v>0.3</v>
      </c>
      <c r="F51" s="28">
        <v>0.0</v>
      </c>
      <c r="G51" s="29">
        <v>0.0</v>
      </c>
      <c r="H51" s="28">
        <v>3.0</v>
      </c>
      <c r="I51" s="29">
        <v>0.45</v>
      </c>
      <c r="J51" s="28">
        <v>26.0</v>
      </c>
      <c r="K51" s="29">
        <v>0.1</v>
      </c>
      <c r="L51" s="30">
        <v>0.0</v>
      </c>
      <c r="M51" s="31">
        <f t="shared" si="6"/>
        <v>1</v>
      </c>
      <c r="N51" s="32">
        <v>0.0</v>
      </c>
      <c r="O51" s="32">
        <v>0.0</v>
      </c>
      <c r="P51" s="32">
        <v>0.95</v>
      </c>
      <c r="Q51" s="32">
        <v>23.81</v>
      </c>
      <c r="R51" s="32">
        <v>75.24</v>
      </c>
      <c r="S51" s="34">
        <f t="shared" si="2"/>
        <v>100</v>
      </c>
      <c r="T51" s="35">
        <f t="shared" si="3"/>
        <v>92.429</v>
      </c>
      <c r="U51" s="37"/>
    </row>
    <row r="52">
      <c r="A52" s="38" t="s">
        <v>86</v>
      </c>
      <c r="B52" s="28">
        <v>17.0</v>
      </c>
      <c r="C52" s="29">
        <v>0.15</v>
      </c>
      <c r="D52" s="28">
        <v>0.0</v>
      </c>
      <c r="E52" s="29">
        <v>0.0</v>
      </c>
      <c r="F52" s="28">
        <v>1.0</v>
      </c>
      <c r="G52" s="29">
        <v>0.3</v>
      </c>
      <c r="H52" s="28">
        <v>2.0</v>
      </c>
      <c r="I52" s="29">
        <v>0.5</v>
      </c>
      <c r="J52" s="28">
        <v>0.0</v>
      </c>
      <c r="K52" s="29">
        <v>0.0</v>
      </c>
      <c r="L52" s="30">
        <v>0.05</v>
      </c>
      <c r="M52" s="31">
        <f t="shared" si="6"/>
        <v>1</v>
      </c>
      <c r="N52" s="32">
        <v>0.0</v>
      </c>
      <c r="O52" s="43">
        <v>6.67</v>
      </c>
      <c r="P52" s="44">
        <v>46.66</v>
      </c>
      <c r="Q52" s="43">
        <v>10.0</v>
      </c>
      <c r="R52" s="43">
        <v>36.67</v>
      </c>
      <c r="S52" s="34">
        <f t="shared" si="2"/>
        <v>100</v>
      </c>
      <c r="T52" s="35">
        <f t="shared" si="3"/>
        <v>82.667</v>
      </c>
      <c r="U52" s="37"/>
      <c r="V52" s="74"/>
      <c r="W52" s="74"/>
      <c r="X52" s="74"/>
    </row>
    <row r="53">
      <c r="A53" s="38" t="s">
        <v>87</v>
      </c>
      <c r="B53" s="28">
        <v>8.0</v>
      </c>
      <c r="C53" s="29">
        <v>0.3</v>
      </c>
      <c r="D53" s="28">
        <v>0.0</v>
      </c>
      <c r="E53" s="29">
        <v>0.0</v>
      </c>
      <c r="F53" s="28">
        <v>1.0</v>
      </c>
      <c r="G53" s="29">
        <v>0.3</v>
      </c>
      <c r="H53" s="28">
        <v>2.0</v>
      </c>
      <c r="I53" s="29">
        <v>0.4</v>
      </c>
      <c r="J53" s="28">
        <v>0.0</v>
      </c>
      <c r="K53" s="29">
        <v>0.0</v>
      </c>
      <c r="L53" s="30">
        <v>0.0</v>
      </c>
      <c r="M53" s="31">
        <f t="shared" si="6"/>
        <v>1</v>
      </c>
      <c r="N53" s="32">
        <v>0.0</v>
      </c>
      <c r="O53" s="32">
        <f>1/(16+8+5+1)*100</f>
        <v>3.333333333</v>
      </c>
      <c r="P53" s="32">
        <f>5/(16+8+5+1)*100</f>
        <v>16.66666667</v>
      </c>
      <c r="Q53" s="32">
        <f>8/(16+8+5+1)*100</f>
        <v>26.66666667</v>
      </c>
      <c r="R53" s="32">
        <f>16/(16+8+5+1)*100</f>
        <v>53.33333333</v>
      </c>
      <c r="S53" s="34">
        <f t="shared" si="2"/>
        <v>100</v>
      </c>
      <c r="T53" s="35">
        <f t="shared" si="3"/>
        <v>88</v>
      </c>
      <c r="U53" s="37"/>
    </row>
    <row r="54">
      <c r="A54" s="38" t="s">
        <v>88</v>
      </c>
      <c r="B54" s="28">
        <v>7.0</v>
      </c>
      <c r="C54" s="29">
        <v>0.1</v>
      </c>
      <c r="D54" s="28">
        <v>0.0</v>
      </c>
      <c r="E54" s="29">
        <v>0.0</v>
      </c>
      <c r="F54" s="28">
        <v>1.0</v>
      </c>
      <c r="G54" s="29">
        <v>0.45</v>
      </c>
      <c r="H54" s="28">
        <v>2.0</v>
      </c>
      <c r="I54" s="29">
        <v>0.4</v>
      </c>
      <c r="J54" s="28">
        <v>0.0</v>
      </c>
      <c r="K54" s="29">
        <v>0.0</v>
      </c>
      <c r="L54" s="30">
        <v>0.05</v>
      </c>
      <c r="M54" s="31">
        <f t="shared" si="6"/>
        <v>1</v>
      </c>
      <c r="N54" s="32">
        <v>4.0</v>
      </c>
      <c r="O54" s="32">
        <v>4.0</v>
      </c>
      <c r="P54" s="32">
        <v>14.0</v>
      </c>
      <c r="Q54" s="32">
        <v>38.0</v>
      </c>
      <c r="R54" s="32">
        <v>40.0</v>
      </c>
      <c r="S54" s="34">
        <f t="shared" si="2"/>
        <v>100</v>
      </c>
      <c r="T54" s="35">
        <f t="shared" si="3"/>
        <v>84.6</v>
      </c>
      <c r="U54" s="37"/>
    </row>
    <row r="55">
      <c r="A55" s="38" t="s">
        <v>89</v>
      </c>
      <c r="B55" s="28">
        <v>12.0</v>
      </c>
      <c r="C55" s="29">
        <v>0.65</v>
      </c>
      <c r="D55" s="28">
        <v>3.0</v>
      </c>
      <c r="E55" s="29">
        <v>0.15</v>
      </c>
      <c r="F55" s="28">
        <v>0.0</v>
      </c>
      <c r="G55" s="29">
        <v>0.0</v>
      </c>
      <c r="H55" s="28">
        <v>0.0</v>
      </c>
      <c r="I55" s="29">
        <v>0.0</v>
      </c>
      <c r="J55" s="28">
        <v>29.0</v>
      </c>
      <c r="K55" s="29">
        <v>0.2</v>
      </c>
      <c r="L55" s="30">
        <v>0.0</v>
      </c>
      <c r="M55" s="31">
        <f t="shared" si="6"/>
        <v>1</v>
      </c>
      <c r="N55" s="32">
        <v>0.0</v>
      </c>
      <c r="O55" s="32">
        <v>0.0</v>
      </c>
      <c r="P55" s="32">
        <v>0.0</v>
      </c>
      <c r="Q55" s="32">
        <v>9.52</v>
      </c>
      <c r="R55" s="32">
        <v>90.48</v>
      </c>
      <c r="S55" s="34">
        <f t="shared" si="2"/>
        <v>100</v>
      </c>
      <c r="T55" s="35">
        <f t="shared" si="3"/>
        <v>94.048</v>
      </c>
      <c r="U55" s="37"/>
    </row>
    <row r="56">
      <c r="A56" s="38" t="s">
        <v>90</v>
      </c>
      <c r="B56" s="28">
        <v>7.0</v>
      </c>
      <c r="C56" s="29">
        <v>0.15</v>
      </c>
      <c r="D56" s="28">
        <v>0.0</v>
      </c>
      <c r="E56" s="29">
        <v>0.0</v>
      </c>
      <c r="F56" s="28">
        <v>1.0</v>
      </c>
      <c r="G56" s="29">
        <v>0.35</v>
      </c>
      <c r="H56" s="28">
        <v>0.0</v>
      </c>
      <c r="I56" s="29">
        <v>0.0</v>
      </c>
      <c r="J56" s="28">
        <v>2.0</v>
      </c>
      <c r="K56" s="29">
        <v>0.5</v>
      </c>
      <c r="L56" s="30">
        <v>0.0</v>
      </c>
      <c r="M56" s="31">
        <f t="shared" si="6"/>
        <v>1</v>
      </c>
      <c r="N56" s="32">
        <f>(0+1)/(15+16+8+10+21+8+1)*100</f>
        <v>1.265822785</v>
      </c>
      <c r="O56" s="32">
        <f>(0+0)/(15+16+8+10+21+8+1)*100</f>
        <v>0</v>
      </c>
      <c r="P56" s="42">
        <f>(8+8)/(15+16+8+10+21+8+1)*100</f>
        <v>20.25316456</v>
      </c>
      <c r="Q56" s="32">
        <f>(16+21)/(15+16+8+10+21+8+1)*100</f>
        <v>46.83544304</v>
      </c>
      <c r="R56" s="42">
        <f>(15+10)/(15+16+8+10+21+8+1)*100</f>
        <v>31.64556962</v>
      </c>
      <c r="S56" s="34">
        <f t="shared" si="2"/>
        <v>100</v>
      </c>
      <c r="T56" s="35">
        <f t="shared" si="3"/>
        <v>85.44303797</v>
      </c>
      <c r="U56" s="37"/>
      <c r="V56" s="59"/>
      <c r="W56" s="59"/>
    </row>
    <row r="57">
      <c r="A57" s="38" t="s">
        <v>91</v>
      </c>
      <c r="B57" s="28">
        <v>12.0</v>
      </c>
      <c r="C57" s="29">
        <v>0.15</v>
      </c>
      <c r="D57" s="28">
        <v>0.0</v>
      </c>
      <c r="E57" s="29">
        <v>0.0</v>
      </c>
      <c r="F57" s="28">
        <v>1.0</v>
      </c>
      <c r="G57" s="29">
        <v>0.3</v>
      </c>
      <c r="H57" s="28">
        <v>2.0</v>
      </c>
      <c r="I57" s="29">
        <v>0.5</v>
      </c>
      <c r="J57" s="28">
        <v>0.0</v>
      </c>
      <c r="K57" s="29">
        <v>0.0</v>
      </c>
      <c r="L57" s="30">
        <v>0.05</v>
      </c>
      <c r="M57" s="31">
        <f t="shared" si="6"/>
        <v>1</v>
      </c>
      <c r="N57" s="32">
        <v>0.0</v>
      </c>
      <c r="O57" s="41">
        <f>2/(11+3+14+2)*100</f>
        <v>6.666666667</v>
      </c>
      <c r="P57" s="42">
        <f>14/(11+3+14+2)*100</f>
        <v>46.66666667</v>
      </c>
      <c r="Q57" s="42">
        <f>3/(11+3+14+2)*100</f>
        <v>10</v>
      </c>
      <c r="R57" s="42">
        <f>11/(11+3+14+2)*100</f>
        <v>36.66666667</v>
      </c>
      <c r="S57" s="34">
        <f t="shared" si="2"/>
        <v>100</v>
      </c>
      <c r="T57" s="35">
        <f t="shared" si="3"/>
        <v>82.66666667</v>
      </c>
      <c r="U57" s="37"/>
      <c r="V57" s="59"/>
      <c r="W57" s="59"/>
    </row>
    <row r="58">
      <c r="A58" s="38" t="s">
        <v>92</v>
      </c>
      <c r="B58" s="28">
        <v>12.0</v>
      </c>
      <c r="C58" s="29">
        <v>0.2</v>
      </c>
      <c r="D58" s="28">
        <v>0.0</v>
      </c>
      <c r="E58" s="29">
        <v>0.0</v>
      </c>
      <c r="F58" s="28">
        <v>1.0</v>
      </c>
      <c r="G58" s="29">
        <v>0.4</v>
      </c>
      <c r="H58" s="28">
        <v>2.0</v>
      </c>
      <c r="I58" s="29">
        <v>0.4</v>
      </c>
      <c r="J58" s="28">
        <v>0.0</v>
      </c>
      <c r="K58" s="29">
        <v>0.0</v>
      </c>
      <c r="L58" s="30">
        <v>0.0</v>
      </c>
      <c r="M58" s="31">
        <f t="shared" si="6"/>
        <v>1</v>
      </c>
      <c r="N58" s="32">
        <v>1.83</v>
      </c>
      <c r="O58" s="32">
        <v>1.83</v>
      </c>
      <c r="P58" s="32">
        <v>30.28</v>
      </c>
      <c r="Q58" s="32">
        <v>38.53</v>
      </c>
      <c r="R58" s="32">
        <v>27.53</v>
      </c>
      <c r="S58" s="34">
        <f t="shared" si="2"/>
        <v>100</v>
      </c>
      <c r="T58" s="35">
        <f t="shared" si="3"/>
        <v>83.3525</v>
      </c>
      <c r="U58" s="37"/>
      <c r="V58" s="59"/>
      <c r="W58" s="59"/>
    </row>
    <row r="59">
      <c r="A59" s="38" t="s">
        <v>93</v>
      </c>
      <c r="B59" s="28">
        <v>9.0</v>
      </c>
      <c r="C59" s="29">
        <v>0.1</v>
      </c>
      <c r="D59" s="28">
        <v>0.0</v>
      </c>
      <c r="E59" s="29">
        <v>0.0</v>
      </c>
      <c r="F59" s="28">
        <v>1.0</v>
      </c>
      <c r="G59" s="29">
        <v>0.4</v>
      </c>
      <c r="H59" s="28">
        <v>2.0</v>
      </c>
      <c r="I59" s="29">
        <v>0.5</v>
      </c>
      <c r="J59" s="28">
        <v>0.0</v>
      </c>
      <c r="K59" s="29">
        <v>0.0</v>
      </c>
      <c r="L59" s="30">
        <v>0.0</v>
      </c>
      <c r="M59" s="31">
        <f t="shared" si="6"/>
        <v>1</v>
      </c>
      <c r="N59" s="32">
        <v>0.0</v>
      </c>
      <c r="O59" s="32">
        <v>0.0</v>
      </c>
      <c r="P59" s="32">
        <v>8.43</v>
      </c>
      <c r="Q59" s="32">
        <v>42.17</v>
      </c>
      <c r="R59" s="32">
        <v>49.4</v>
      </c>
      <c r="S59" s="34">
        <f t="shared" si="2"/>
        <v>100</v>
      </c>
      <c r="T59" s="35">
        <f t="shared" si="3"/>
        <v>89.097</v>
      </c>
      <c r="U59" s="37"/>
    </row>
    <row r="60">
      <c r="A60" s="38" t="s">
        <v>94</v>
      </c>
      <c r="B60" s="28">
        <v>9.0</v>
      </c>
      <c r="C60" s="29">
        <v>0.1</v>
      </c>
      <c r="D60" s="28">
        <v>0.0</v>
      </c>
      <c r="E60" s="29">
        <v>0.0</v>
      </c>
      <c r="F60" s="28">
        <v>1.0</v>
      </c>
      <c r="G60" s="29">
        <v>0.4</v>
      </c>
      <c r="H60" s="28">
        <v>2.0</v>
      </c>
      <c r="I60" s="29">
        <v>0.5</v>
      </c>
      <c r="J60" s="28">
        <v>0.0</v>
      </c>
      <c r="K60" s="29">
        <v>0.0</v>
      </c>
      <c r="L60" s="30">
        <v>0.0</v>
      </c>
      <c r="M60" s="31">
        <f t="shared" si="6"/>
        <v>1</v>
      </c>
      <c r="N60" s="32">
        <v>2.25</v>
      </c>
      <c r="O60" s="32">
        <v>1.12</v>
      </c>
      <c r="P60" s="32">
        <v>8.99</v>
      </c>
      <c r="Q60" s="32">
        <v>51.69</v>
      </c>
      <c r="R60" s="32">
        <v>35.95</v>
      </c>
      <c r="S60" s="34">
        <f t="shared" si="2"/>
        <v>100</v>
      </c>
      <c r="T60" s="35">
        <f t="shared" si="3"/>
        <v>86.2345</v>
      </c>
      <c r="U60" s="37"/>
    </row>
    <row r="61">
      <c r="A61" s="40" t="s">
        <v>95</v>
      </c>
      <c r="B61" s="28">
        <v>7.0</v>
      </c>
      <c r="C61" s="29">
        <v>0.1</v>
      </c>
      <c r="D61" s="28">
        <v>0.0</v>
      </c>
      <c r="E61" s="29">
        <v>0.0</v>
      </c>
      <c r="F61" s="28">
        <v>1.0</v>
      </c>
      <c r="G61" s="29">
        <v>0.3</v>
      </c>
      <c r="H61" s="28">
        <v>2.0</v>
      </c>
      <c r="I61" s="29">
        <v>0.5</v>
      </c>
      <c r="J61" s="28">
        <v>5.0</v>
      </c>
      <c r="K61" s="29">
        <v>0.1</v>
      </c>
      <c r="L61" s="30">
        <v>0.0</v>
      </c>
      <c r="M61" s="31">
        <f t="shared" si="6"/>
        <v>1</v>
      </c>
      <c r="N61" s="32">
        <v>0.0</v>
      </c>
      <c r="O61" s="32">
        <v>1.41</v>
      </c>
      <c r="P61" s="32">
        <v>23.94</v>
      </c>
      <c r="Q61" s="32">
        <v>35.21</v>
      </c>
      <c r="R61" s="32">
        <v>39.44</v>
      </c>
      <c r="S61" s="34">
        <f t="shared" si="2"/>
        <v>100</v>
      </c>
      <c r="T61" s="35">
        <f t="shared" si="3"/>
        <v>86.268</v>
      </c>
      <c r="U61" s="37"/>
    </row>
    <row r="62">
      <c r="A62" s="38" t="s">
        <v>96</v>
      </c>
      <c r="B62" s="28">
        <v>10.0</v>
      </c>
      <c r="C62" s="29">
        <v>0.2</v>
      </c>
      <c r="D62" s="28">
        <v>1.0</v>
      </c>
      <c r="E62" s="29">
        <v>0.1</v>
      </c>
      <c r="F62" s="28">
        <v>1.0</v>
      </c>
      <c r="G62" s="29">
        <v>0.3</v>
      </c>
      <c r="H62" s="28">
        <v>2.0</v>
      </c>
      <c r="I62" s="29">
        <v>0.35</v>
      </c>
      <c r="J62" s="28">
        <v>0.0</v>
      </c>
      <c r="K62" s="29">
        <v>0.0</v>
      </c>
      <c r="L62" s="30">
        <v>0.05</v>
      </c>
      <c r="M62" s="31">
        <f t="shared" si="6"/>
        <v>1</v>
      </c>
      <c r="N62" s="32">
        <v>0.0</v>
      </c>
      <c r="O62" s="32">
        <v>8.33</v>
      </c>
      <c r="P62" s="32">
        <v>8.33</v>
      </c>
      <c r="Q62" s="32">
        <v>58.34</v>
      </c>
      <c r="R62" s="32">
        <v>25.0</v>
      </c>
      <c r="S62" s="34">
        <f t="shared" si="2"/>
        <v>100</v>
      </c>
      <c r="T62" s="35">
        <f t="shared" si="3"/>
        <v>85.001</v>
      </c>
      <c r="U62" s="37"/>
    </row>
    <row r="63">
      <c r="A63" s="38" t="s">
        <v>97</v>
      </c>
      <c r="B63" s="28">
        <v>10.0</v>
      </c>
      <c r="C63" s="29">
        <v>0.2</v>
      </c>
      <c r="D63" s="28">
        <v>1.0</v>
      </c>
      <c r="E63" s="29">
        <v>0.1</v>
      </c>
      <c r="F63" s="28">
        <v>1.0</v>
      </c>
      <c r="G63" s="29">
        <v>0.3</v>
      </c>
      <c r="H63" s="28">
        <v>2.0</v>
      </c>
      <c r="I63" s="29">
        <v>0.35</v>
      </c>
      <c r="J63" s="28">
        <v>0.0</v>
      </c>
      <c r="K63" s="29">
        <v>0.0</v>
      </c>
      <c r="L63" s="30">
        <v>0.05</v>
      </c>
      <c r="M63" s="31">
        <f t="shared" si="6"/>
        <v>1</v>
      </c>
      <c r="N63" s="45">
        <v>0.0</v>
      </c>
      <c r="O63" s="45">
        <v>5.0</v>
      </c>
      <c r="P63" s="45">
        <v>10.0</v>
      </c>
      <c r="Q63" s="45">
        <v>30.0</v>
      </c>
      <c r="R63" s="45">
        <v>55.0</v>
      </c>
      <c r="S63" s="34">
        <f t="shared" si="2"/>
        <v>100</v>
      </c>
      <c r="T63" s="35">
        <f t="shared" si="3"/>
        <v>88.5</v>
      </c>
      <c r="U63" s="37"/>
    </row>
    <row r="64">
      <c r="A64" s="40" t="s">
        <v>98</v>
      </c>
      <c r="B64" s="28">
        <v>9.0</v>
      </c>
      <c r="C64" s="29">
        <v>0.075</v>
      </c>
      <c r="D64" s="28">
        <v>1.0</v>
      </c>
      <c r="E64" s="29">
        <v>0.4</v>
      </c>
      <c r="F64" s="28">
        <v>0.0</v>
      </c>
      <c r="G64" s="29">
        <v>0.0</v>
      </c>
      <c r="H64" s="28">
        <v>2.0</v>
      </c>
      <c r="I64" s="29">
        <v>0.45</v>
      </c>
      <c r="J64" s="28">
        <v>12.0</v>
      </c>
      <c r="K64" s="29">
        <v>0.075</v>
      </c>
      <c r="L64" s="30">
        <v>0.0</v>
      </c>
      <c r="M64" s="31">
        <f t="shared" si="6"/>
        <v>1</v>
      </c>
      <c r="N64" s="45">
        <v>0.0</v>
      </c>
      <c r="O64" s="45">
        <v>0.0</v>
      </c>
      <c r="P64" s="45">
        <v>9.09</v>
      </c>
      <c r="Q64" s="45">
        <v>50.0</v>
      </c>
      <c r="R64" s="45">
        <v>40.91</v>
      </c>
      <c r="S64" s="34">
        <f t="shared" si="2"/>
        <v>100</v>
      </c>
      <c r="T64" s="35">
        <f t="shared" si="3"/>
        <v>88.182</v>
      </c>
      <c r="U64" s="37"/>
    </row>
    <row r="65">
      <c r="A65" s="38" t="s">
        <v>99</v>
      </c>
      <c r="B65" s="28">
        <v>13.0</v>
      </c>
      <c r="C65" s="29">
        <v>0.2</v>
      </c>
      <c r="D65" s="28">
        <v>0.0</v>
      </c>
      <c r="E65" s="29">
        <v>0.0</v>
      </c>
      <c r="F65" s="28">
        <v>1.0</v>
      </c>
      <c r="G65" s="29">
        <v>0.35</v>
      </c>
      <c r="H65" s="28">
        <v>3.0</v>
      </c>
      <c r="I65" s="29">
        <v>0.45</v>
      </c>
      <c r="J65" s="28">
        <v>0.0</v>
      </c>
      <c r="K65" s="29">
        <v>0.0</v>
      </c>
      <c r="L65" s="30">
        <v>0.0</v>
      </c>
      <c r="M65" s="31">
        <f t="shared" si="6"/>
        <v>1</v>
      </c>
      <c r="N65" s="46">
        <f>100*4/(86+29+17+7+4)</f>
        <v>2.797202797</v>
      </c>
      <c r="O65" s="47">
        <f>100*7/(86+29+17+7+4)</f>
        <v>4.895104895</v>
      </c>
      <c r="P65" s="47">
        <f>100*17/(86+29+17+7+4)</f>
        <v>11.88811189</v>
      </c>
      <c r="Q65" s="47">
        <f>100*29/(86+29+17+7+4)</f>
        <v>20.27972028</v>
      </c>
      <c r="R65" s="47">
        <f>100*86/(86+29+17+7+4)</f>
        <v>60.13986014</v>
      </c>
      <c r="S65" s="34">
        <f t="shared" si="2"/>
        <v>100</v>
      </c>
      <c r="T65" s="35">
        <f t="shared" si="3"/>
        <v>87.30769231</v>
      </c>
      <c r="U65" s="37"/>
    </row>
    <row r="66">
      <c r="A66" s="38" t="s">
        <v>100</v>
      </c>
      <c r="B66" s="28">
        <v>0.0</v>
      </c>
      <c r="C66" s="29">
        <v>0.0</v>
      </c>
      <c r="D66" s="28">
        <v>0.0</v>
      </c>
      <c r="E66" s="29">
        <v>0.0</v>
      </c>
      <c r="F66" s="28">
        <v>1.0</v>
      </c>
      <c r="G66" s="29">
        <v>0.3</v>
      </c>
      <c r="H66" s="28">
        <v>2.0</v>
      </c>
      <c r="I66" s="29">
        <v>0.5</v>
      </c>
      <c r="J66" s="28">
        <v>12.0</v>
      </c>
      <c r="K66" s="29">
        <v>0.2</v>
      </c>
      <c r="L66" s="30">
        <v>0.0</v>
      </c>
      <c r="M66" s="31">
        <f t="shared" si="6"/>
        <v>1</v>
      </c>
      <c r="N66" s="45">
        <f>100*1/(7+4+8+1+7+11+5+6+12+5+3+14+4+2+1)</f>
        <v>1.111111111</v>
      </c>
      <c r="O66" s="42">
        <f>100*(2+1)/(7+4+8+1+7+11+5+6+12+5+3+14+4+2+1)</f>
        <v>3.333333333</v>
      </c>
      <c r="P66" s="42">
        <f>100*(8+5+5+4)/(7+4+8+1+7+11+5+6+12+5+3+14+4+2+1)</f>
        <v>24.44444444</v>
      </c>
      <c r="Q66" s="42">
        <f>100*(4+11+12+14)/(7+4+8+1+7+11+5+6+12+5+3+14+4+2+1)</f>
        <v>45.55555556</v>
      </c>
      <c r="R66" s="42">
        <f>100*(7+7+6+3)/(7+4+8+1+7+11+5+6+12+5+3+14+4+2+1)</f>
        <v>25.55555556</v>
      </c>
      <c r="S66" s="34">
        <f t="shared" si="2"/>
        <v>100</v>
      </c>
      <c r="T66" s="35">
        <f t="shared" si="3"/>
        <v>83.83333333</v>
      </c>
      <c r="U66" s="37"/>
    </row>
    <row r="67">
      <c r="A67" s="38" t="s">
        <v>101</v>
      </c>
      <c r="B67" s="28">
        <v>0.0</v>
      </c>
      <c r="C67" s="29">
        <v>0.0</v>
      </c>
      <c r="D67" s="28">
        <v>0.0</v>
      </c>
      <c r="E67" s="29">
        <v>0.0</v>
      </c>
      <c r="F67" s="28">
        <v>1.0</v>
      </c>
      <c r="G67" s="29">
        <v>0.35</v>
      </c>
      <c r="H67" s="28">
        <v>2.0</v>
      </c>
      <c r="I67" s="29">
        <v>0.5</v>
      </c>
      <c r="J67" s="28">
        <v>12.0</v>
      </c>
      <c r="K67" s="29">
        <v>0.15</v>
      </c>
      <c r="L67" s="30">
        <v>0.0</v>
      </c>
      <c r="M67" s="31">
        <f t="shared" si="6"/>
        <v>1</v>
      </c>
      <c r="N67" s="45">
        <v>0.0</v>
      </c>
      <c r="O67" s="45">
        <f>0</f>
        <v>0</v>
      </c>
      <c r="P67" s="45">
        <f>100*(3+4+1+2)/(17+11+3+11+16+4+10+20+1+6+9+2)</f>
        <v>9.090909091</v>
      </c>
      <c r="Q67" s="45">
        <f>100*(11+16+20+9)/(17+11+3+11+16+4+10+20+1+6+9+2)</f>
        <v>50.90909091</v>
      </c>
      <c r="R67" s="45">
        <f>100*(17+11+10+6)/(17+11+3+11+16+4+10+20+1+6+9+2)</f>
        <v>40</v>
      </c>
      <c r="S67" s="34">
        <f t="shared" si="2"/>
        <v>100</v>
      </c>
      <c r="T67" s="35">
        <f t="shared" si="3"/>
        <v>88.09090909</v>
      </c>
      <c r="U67" s="37"/>
    </row>
    <row r="68">
      <c r="A68" s="40" t="s">
        <v>102</v>
      </c>
      <c r="B68" s="28">
        <v>11.0</v>
      </c>
      <c r="C68" s="29">
        <v>0.1</v>
      </c>
      <c r="D68" s="28">
        <v>0.0</v>
      </c>
      <c r="E68" s="29">
        <v>0.0</v>
      </c>
      <c r="F68" s="28">
        <v>1.0</v>
      </c>
      <c r="G68" s="29">
        <v>0.3</v>
      </c>
      <c r="H68" s="28">
        <v>3.0</v>
      </c>
      <c r="I68" s="29">
        <v>0.5</v>
      </c>
      <c r="J68" s="28">
        <v>9.0</v>
      </c>
      <c r="K68" s="29">
        <v>0.1</v>
      </c>
      <c r="L68" s="30">
        <v>0.0</v>
      </c>
      <c r="M68" s="31">
        <f t="shared" si="6"/>
        <v>1</v>
      </c>
      <c r="N68" s="45">
        <f>100*1/(9+9+13+1+14+7+10+1+1+7+10+15+2+13+8+9+2)</f>
        <v>0.7633587786</v>
      </c>
      <c r="O68" s="47">
        <f>100*(1+1+2+2)/(9+9+13+1+14+7+10+1+1+7+10+15+2+13+8+9+2)</f>
        <v>4.580152672</v>
      </c>
      <c r="P68" s="47">
        <f>100*(13+10+15+9)/(9+9+13+1+14+7+10+1+1+7+10+15+2+13+8+9+2)</f>
        <v>35.8778626</v>
      </c>
      <c r="Q68" s="47">
        <f>100*(9+7+10+8)/(9+9+13+1+14+7+10+1+1+7+10+15+2+13+8+9+2)</f>
        <v>25.95419847</v>
      </c>
      <c r="R68" s="47">
        <f>100*(9+14+7+13)/(9+9+13+1+14+7+10+1+1+7+10+15+2+13+8+9+2)</f>
        <v>32.82442748</v>
      </c>
      <c r="S68" s="34">
        <f t="shared" si="2"/>
        <v>100</v>
      </c>
      <c r="T68" s="35">
        <f t="shared" si="3"/>
        <v>83.35877863</v>
      </c>
      <c r="U68" s="37"/>
    </row>
    <row r="69">
      <c r="A69" s="38" t="s">
        <v>103</v>
      </c>
      <c r="B69" s="28">
        <v>10.0</v>
      </c>
      <c r="C69" s="29">
        <v>0.15</v>
      </c>
      <c r="D69" s="28">
        <v>0.0</v>
      </c>
      <c r="E69" s="29">
        <v>0.0</v>
      </c>
      <c r="F69" s="28">
        <v>1.0</v>
      </c>
      <c r="G69" s="29">
        <v>0.3</v>
      </c>
      <c r="H69" s="28">
        <v>2.0</v>
      </c>
      <c r="I69" s="29">
        <v>0.4</v>
      </c>
      <c r="J69" s="28">
        <v>0.0</v>
      </c>
      <c r="K69" s="29">
        <v>0.0</v>
      </c>
      <c r="L69" s="30">
        <v>0.15</v>
      </c>
      <c r="M69" s="31">
        <f t="shared" si="6"/>
        <v>1</v>
      </c>
      <c r="N69" s="32">
        <v>0.0</v>
      </c>
      <c r="O69" s="41">
        <f>100*1/(6+15+10+1)</f>
        <v>3.125</v>
      </c>
      <c r="P69" s="41">
        <f>10*100/(6+15+10+1)</f>
        <v>31.25</v>
      </c>
      <c r="Q69" s="41">
        <f>15*100/(6+15+10+1)</f>
        <v>46.875</v>
      </c>
      <c r="R69" s="41">
        <f>6*100/(6+15+10+1)</f>
        <v>18.75</v>
      </c>
      <c r="S69" s="34">
        <f t="shared" si="2"/>
        <v>100</v>
      </c>
      <c r="T69" s="35">
        <f t="shared" si="3"/>
        <v>83.125</v>
      </c>
      <c r="U69" s="37"/>
      <c r="V69" s="64"/>
      <c r="W69" s="64"/>
      <c r="X69" s="64"/>
      <c r="Y69" s="64"/>
    </row>
    <row r="70">
      <c r="A70" s="38" t="s">
        <v>104</v>
      </c>
      <c r="B70" s="28">
        <v>12.0</v>
      </c>
      <c r="C70" s="29">
        <v>0.15</v>
      </c>
      <c r="D70" s="28">
        <v>0.0</v>
      </c>
      <c r="E70" s="29">
        <v>0.0</v>
      </c>
      <c r="F70" s="28">
        <v>1.0</v>
      </c>
      <c r="G70" s="29">
        <v>0.35</v>
      </c>
      <c r="H70" s="28">
        <v>2.0</v>
      </c>
      <c r="I70" s="29">
        <v>0.5</v>
      </c>
      <c r="J70" s="28">
        <v>0.0</v>
      </c>
      <c r="K70" s="29">
        <v>0.0</v>
      </c>
      <c r="L70" s="30">
        <v>0.0</v>
      </c>
      <c r="M70" s="31">
        <f t="shared" si="6"/>
        <v>1</v>
      </c>
      <c r="N70" s="32">
        <v>0.0</v>
      </c>
      <c r="O70" s="41">
        <f>100*1/(7+7+10+11+11+14+1)</f>
        <v>1.639344262</v>
      </c>
      <c r="P70" s="41">
        <f>100*24/(7+7+10+11+11+14+1)</f>
        <v>39.3442623</v>
      </c>
      <c r="Q70" s="41">
        <f t="shared" ref="Q70:R70" si="8">100*18/(7+7+10+11+11+14+1)</f>
        <v>29.50819672</v>
      </c>
      <c r="R70" s="41">
        <f t="shared" si="8"/>
        <v>29.50819672</v>
      </c>
      <c r="S70" s="34">
        <f t="shared" si="2"/>
        <v>100</v>
      </c>
      <c r="T70" s="35">
        <f t="shared" si="3"/>
        <v>83.68852459</v>
      </c>
      <c r="U70" s="37"/>
      <c r="V70" s="75"/>
      <c r="W70" s="75"/>
      <c r="X70" s="75"/>
      <c r="Y70" s="75"/>
    </row>
    <row r="71">
      <c r="A71" s="38" t="s">
        <v>105</v>
      </c>
      <c r="B71" s="28">
        <v>0.0</v>
      </c>
      <c r="C71" s="29">
        <v>0.0</v>
      </c>
      <c r="D71" s="28">
        <v>0.0</v>
      </c>
      <c r="E71" s="29">
        <v>0.0</v>
      </c>
      <c r="F71" s="28">
        <v>1.0</v>
      </c>
      <c r="G71" s="29">
        <v>0.3</v>
      </c>
      <c r="H71" s="28">
        <v>2.0</v>
      </c>
      <c r="I71" s="29">
        <v>0.5</v>
      </c>
      <c r="J71" s="28">
        <v>10.0</v>
      </c>
      <c r="K71" s="29">
        <v>0.1</v>
      </c>
      <c r="L71" s="30">
        <v>0.1</v>
      </c>
      <c r="M71" s="31">
        <f t="shared" si="6"/>
        <v>1</v>
      </c>
      <c r="N71" s="32">
        <v>0.0</v>
      </c>
      <c r="O71" s="32">
        <v>0.0</v>
      </c>
      <c r="P71" s="41">
        <f>300/(54+54+3)</f>
        <v>2.702702703</v>
      </c>
      <c r="Q71" s="41">
        <f t="shared" ref="Q71:R71" si="9">5400/(54+54+3)</f>
        <v>48.64864865</v>
      </c>
      <c r="R71" s="42">
        <f t="shared" si="9"/>
        <v>48.64864865</v>
      </c>
      <c r="S71" s="34">
        <f t="shared" si="2"/>
        <v>100</v>
      </c>
      <c r="T71" s="35">
        <f t="shared" si="3"/>
        <v>89.59459459</v>
      </c>
      <c r="U71" s="37"/>
    </row>
    <row r="72">
      <c r="A72" s="40" t="s">
        <v>106</v>
      </c>
      <c r="B72" s="28">
        <v>12.0</v>
      </c>
      <c r="C72" s="29">
        <v>0.1</v>
      </c>
      <c r="D72" s="28">
        <v>3.0</v>
      </c>
      <c r="E72" s="29">
        <v>0.15</v>
      </c>
      <c r="F72" s="28">
        <v>1.0</v>
      </c>
      <c r="G72" s="29">
        <v>0.25</v>
      </c>
      <c r="H72" s="28">
        <v>2.0</v>
      </c>
      <c r="I72" s="29">
        <v>0.4</v>
      </c>
      <c r="J72" s="28">
        <v>12.0</v>
      </c>
      <c r="K72" s="29">
        <v>0.05</v>
      </c>
      <c r="L72" s="30">
        <v>0.05</v>
      </c>
      <c r="M72" s="31">
        <f t="shared" si="6"/>
        <v>1</v>
      </c>
      <c r="N72" s="45">
        <v>0.0</v>
      </c>
      <c r="O72" s="44">
        <v>1.17</v>
      </c>
      <c r="P72" s="44">
        <v>28.24</v>
      </c>
      <c r="Q72" s="44">
        <v>2.35</v>
      </c>
      <c r="R72" s="44">
        <v>68.24</v>
      </c>
      <c r="S72" s="34">
        <f t="shared" si="2"/>
        <v>100</v>
      </c>
      <c r="T72" s="35">
        <f t="shared" si="3"/>
        <v>88.766</v>
      </c>
      <c r="U72" s="37"/>
    </row>
    <row r="73">
      <c r="A73" s="38" t="s">
        <v>107</v>
      </c>
      <c r="B73" s="28">
        <v>12.0</v>
      </c>
      <c r="C73" s="29">
        <v>0.2</v>
      </c>
      <c r="D73" s="28">
        <v>0.0</v>
      </c>
      <c r="E73" s="29">
        <v>0.0</v>
      </c>
      <c r="F73" s="28">
        <v>1.0</v>
      </c>
      <c r="G73" s="29">
        <v>0.35</v>
      </c>
      <c r="H73" s="28">
        <v>3.0</v>
      </c>
      <c r="I73" s="29">
        <v>0.45</v>
      </c>
      <c r="J73" s="28">
        <v>0.0</v>
      </c>
      <c r="K73" s="29">
        <v>0.0</v>
      </c>
      <c r="L73" s="30">
        <v>0.0</v>
      </c>
      <c r="M73" s="31">
        <f t="shared" si="6"/>
        <v>1</v>
      </c>
      <c r="N73" s="41">
        <f>100/(113+20+9+1)</f>
        <v>0.6993006993</v>
      </c>
      <c r="O73" s="41">
        <f>100*0/(113+20+9+1)</f>
        <v>0</v>
      </c>
      <c r="P73" s="41">
        <f>100*9/(113+20+9+1)</f>
        <v>6.293706294</v>
      </c>
      <c r="Q73" s="41">
        <f>100*20/(113+20+9+1)</f>
        <v>13.98601399</v>
      </c>
      <c r="R73" s="41">
        <f>100*113/(113+20+9+1)</f>
        <v>79.02097902</v>
      </c>
      <c r="S73" s="34">
        <f t="shared" si="2"/>
        <v>100</v>
      </c>
      <c r="T73" s="35">
        <f t="shared" si="3"/>
        <v>91.88811189</v>
      </c>
      <c r="U73" s="37"/>
    </row>
    <row r="74">
      <c r="A74" s="38" t="s">
        <v>108</v>
      </c>
      <c r="B74" s="28">
        <v>0.0</v>
      </c>
      <c r="C74" s="29">
        <v>0.0</v>
      </c>
      <c r="D74" s="28">
        <v>0.0</v>
      </c>
      <c r="E74" s="29">
        <v>0.0</v>
      </c>
      <c r="F74" s="28">
        <v>1.0</v>
      </c>
      <c r="G74" s="29">
        <v>0.3</v>
      </c>
      <c r="H74" s="28">
        <v>2.0</v>
      </c>
      <c r="I74" s="29">
        <v>0.5</v>
      </c>
      <c r="J74" s="28">
        <v>12.0</v>
      </c>
      <c r="K74" s="29">
        <v>0.2</v>
      </c>
      <c r="L74" s="30">
        <v>0.0</v>
      </c>
      <c r="M74" s="31">
        <f t="shared" si="6"/>
        <v>1</v>
      </c>
      <c r="N74" s="45">
        <f>100*1/(10+9+6+8+12+8+1+10+12+8+3)</f>
        <v>1.149425287</v>
      </c>
      <c r="O74" s="45">
        <f>100*3/(10+9+6+8+12+8+1+10+12+8+3)</f>
        <v>3.448275862</v>
      </c>
      <c r="P74" s="45">
        <f>100*(6+8+8)/(10+9+6+8+12+8+1+10+12+8+3)</f>
        <v>25.28735632</v>
      </c>
      <c r="Q74" s="45">
        <f>100*(9+12+12)/(10+9+6+8+12+8+1+10+12+8+3)</f>
        <v>37.93103448</v>
      </c>
      <c r="R74" s="45">
        <f>100*(10+8+10)/(10+9+6+8+12+8+1+10+12+8+3)</f>
        <v>32.18390805</v>
      </c>
      <c r="S74" s="34">
        <f t="shared" si="2"/>
        <v>100</v>
      </c>
      <c r="T74" s="35">
        <f t="shared" si="3"/>
        <v>84.36781609</v>
      </c>
      <c r="U74" s="37"/>
    </row>
    <row r="75">
      <c r="A75" s="38" t="s">
        <v>109</v>
      </c>
      <c r="B75" s="28">
        <v>11.0</v>
      </c>
      <c r="C75" s="29">
        <v>0.1</v>
      </c>
      <c r="D75" s="28">
        <v>0.0</v>
      </c>
      <c r="E75" s="29">
        <v>0.0</v>
      </c>
      <c r="F75" s="28">
        <v>1.0</v>
      </c>
      <c r="G75" s="29">
        <v>0.3</v>
      </c>
      <c r="H75" s="28">
        <v>3.0</v>
      </c>
      <c r="I75" s="29">
        <v>0.5</v>
      </c>
      <c r="J75" s="28">
        <v>9.0</v>
      </c>
      <c r="K75" s="29">
        <v>0.1</v>
      </c>
      <c r="L75" s="30">
        <v>0.0</v>
      </c>
      <c r="M75" s="31">
        <f t="shared" si="6"/>
        <v>1</v>
      </c>
      <c r="N75" s="45">
        <f>100*4/(10+6+10+2+16+9+6+3+7+16+10+3+16+6+10)</f>
        <v>3.076923077</v>
      </c>
      <c r="O75" s="45">
        <f>100*(8)/(10+6+10+2+16+9+6+3+7+16+10+3+16+6+10)</f>
        <v>6.153846154</v>
      </c>
      <c r="P75" s="45">
        <f>100*(10+6+9+7)/(10+6+10+2+16+9+6+3+7+16+10+3+16+6+10)</f>
        <v>24.61538462</v>
      </c>
      <c r="Q75" s="45">
        <f>100*(6+9+16+6)/(10+6+10+2+16+9+6+3+7+16+10+3+16+6+10)</f>
        <v>28.46153846</v>
      </c>
      <c r="R75" s="45">
        <f>100*(26+7+16)/(10+6+10+2+16+9+6+3+7+16+10+3+16+6+10)</f>
        <v>37.69230769</v>
      </c>
      <c r="S75" s="34">
        <f t="shared" si="2"/>
        <v>100</v>
      </c>
      <c r="T75" s="35">
        <f t="shared" si="3"/>
        <v>83.38461538</v>
      </c>
      <c r="U75" s="37"/>
    </row>
    <row r="76">
      <c r="A76" s="38" t="s">
        <v>110</v>
      </c>
      <c r="B76" s="28">
        <v>21.0</v>
      </c>
      <c r="C76" s="29">
        <v>0.4</v>
      </c>
      <c r="D76" s="28">
        <v>0.0</v>
      </c>
      <c r="E76" s="29">
        <v>0.0</v>
      </c>
      <c r="F76" s="28">
        <v>0.0</v>
      </c>
      <c r="G76" s="29">
        <v>0.0</v>
      </c>
      <c r="H76" s="28">
        <v>3.0</v>
      </c>
      <c r="I76" s="29">
        <v>0.55</v>
      </c>
      <c r="J76" s="28">
        <v>0.0</v>
      </c>
      <c r="K76" s="29">
        <v>0.0</v>
      </c>
      <c r="L76" s="30">
        <v>0.05</v>
      </c>
      <c r="M76" s="31">
        <f t="shared" si="6"/>
        <v>1</v>
      </c>
      <c r="N76" s="41">
        <f>100/(15+1+6+20+3+19+2+13+9+2+1+16+5+1+16+3)</f>
        <v>0.7575757576</v>
      </c>
      <c r="O76" s="41">
        <f>100*0/(15+1+6+20+3+19+2+13+9+2+1+16+5+1+16+3)</f>
        <v>0</v>
      </c>
      <c r="P76" s="41">
        <f>100*17/(15+1+6+20+3+19+2+13+9+2+1+16+5+1+16+3)</f>
        <v>12.87878788</v>
      </c>
      <c r="Q76" s="41">
        <f>100*(1+7+8+9+5+4)/(15+1+6+20+3+19+2+13+9+2+1+16+5+1+16+3)</f>
        <v>25.75757576</v>
      </c>
      <c r="R76" s="41">
        <f>100*(28+24+28)/(15+1+6+20+3+19+2+13+9+2+1+16+5+1+16+3)</f>
        <v>60.60606061</v>
      </c>
      <c r="S76" s="34">
        <f t="shared" si="2"/>
        <v>100</v>
      </c>
      <c r="T76" s="35">
        <f t="shared" si="3"/>
        <v>89.35606061</v>
      </c>
      <c r="U76" s="37"/>
    </row>
    <row r="77">
      <c r="A77" s="38" t="s">
        <v>111</v>
      </c>
      <c r="B77" s="28">
        <v>9.0</v>
      </c>
      <c r="C77" s="29">
        <v>0.1</v>
      </c>
      <c r="D77" s="28">
        <v>0.0</v>
      </c>
      <c r="E77" s="29">
        <v>0.0</v>
      </c>
      <c r="F77" s="28">
        <v>1.0</v>
      </c>
      <c r="G77" s="29">
        <v>0.4</v>
      </c>
      <c r="H77" s="28">
        <v>2.0</v>
      </c>
      <c r="I77" s="29">
        <v>0.45</v>
      </c>
      <c r="J77" s="28">
        <v>0.0</v>
      </c>
      <c r="K77" s="29">
        <v>0.0</v>
      </c>
      <c r="L77" s="30">
        <v>0.05</v>
      </c>
      <c r="M77" s="31">
        <f t="shared" si="6"/>
        <v>1</v>
      </c>
      <c r="N77" s="41">
        <f>100*2/(23+14+6+1+2)</f>
        <v>4.347826087</v>
      </c>
      <c r="O77" s="41">
        <f>100*1/(23+14+6+1+2)</f>
        <v>2.173913043</v>
      </c>
      <c r="P77" s="41">
        <f>100*6/(23+14+6+1+2)</f>
        <v>13.04347826</v>
      </c>
      <c r="Q77" s="41">
        <f>100*14/(23+14+6+1+2)</f>
        <v>30.43478261</v>
      </c>
      <c r="R77" s="41">
        <f>100*23/(23+14+6+1+2)</f>
        <v>50</v>
      </c>
      <c r="S77" s="34">
        <f t="shared" si="2"/>
        <v>100</v>
      </c>
      <c r="T77" s="35">
        <f t="shared" si="3"/>
        <v>85.86956522</v>
      </c>
      <c r="U77" s="37"/>
    </row>
    <row r="78">
      <c r="A78" s="40" t="s">
        <v>112</v>
      </c>
      <c r="B78" s="28">
        <v>12.0</v>
      </c>
      <c r="C78" s="29">
        <v>0.1</v>
      </c>
      <c r="D78" s="28">
        <v>3.0</v>
      </c>
      <c r="E78" s="29">
        <v>0.15</v>
      </c>
      <c r="F78" s="28">
        <v>1.0</v>
      </c>
      <c r="G78" s="29">
        <v>0.25</v>
      </c>
      <c r="H78" s="28">
        <v>2.0</v>
      </c>
      <c r="I78" s="29">
        <v>0.4</v>
      </c>
      <c r="J78" s="28">
        <v>12.0</v>
      </c>
      <c r="K78" s="29">
        <v>0.05</v>
      </c>
      <c r="L78" s="30">
        <v>0.05</v>
      </c>
      <c r="M78" s="31">
        <f t="shared" si="6"/>
        <v>1</v>
      </c>
      <c r="N78" s="41">
        <f>100*(1)/(9+12+4+7+14+4+21+4+13+12+19+7+24)</f>
        <v>0.6666666667</v>
      </c>
      <c r="O78" s="41">
        <f>100*(4)/(9+12+4+7+14+4+21+4+13+12+19+7+24)</f>
        <v>2.666666667</v>
      </c>
      <c r="P78" s="41">
        <f>100*(21)/(9+12+4+7+14+4+21+4+13+12+19+7+24)</f>
        <v>14</v>
      </c>
      <c r="Q78" s="41">
        <f>100*(12+14+19+12+11)/(9+12+4+7+14+4+21+4+13+12+19+7+24)</f>
        <v>45.33333333</v>
      </c>
      <c r="R78" s="41">
        <f>100*(9+7+11+13+7+9)/(9+12+4+7+14+4+21+4+13+12+19+7+24)</f>
        <v>37.33333333</v>
      </c>
      <c r="S78" s="34">
        <f t="shared" si="2"/>
        <v>100</v>
      </c>
      <c r="T78" s="35">
        <f t="shared" si="3"/>
        <v>86.43333333</v>
      </c>
      <c r="U78" s="37"/>
    </row>
    <row r="79">
      <c r="A79" s="38" t="s">
        <v>113</v>
      </c>
      <c r="B79" s="28">
        <v>21.0</v>
      </c>
      <c r="C79" s="29">
        <v>0.4</v>
      </c>
      <c r="D79" s="28">
        <v>0.0</v>
      </c>
      <c r="E79" s="29">
        <v>0.0</v>
      </c>
      <c r="F79" s="28">
        <v>0.0</v>
      </c>
      <c r="G79" s="29">
        <v>0.0</v>
      </c>
      <c r="H79" s="28">
        <v>3.0</v>
      </c>
      <c r="I79" s="29">
        <v>0.55</v>
      </c>
      <c r="J79" s="28">
        <v>0.0</v>
      </c>
      <c r="K79" s="29">
        <v>0.0</v>
      </c>
      <c r="L79" s="30">
        <v>0.05</v>
      </c>
      <c r="M79" s="31">
        <f t="shared" si="6"/>
        <v>1</v>
      </c>
      <c r="N79" s="41">
        <f>100*1/(14+4+1+22+19+18)</f>
        <v>1.282051282</v>
      </c>
      <c r="O79" s="41">
        <f>100*0/(14+4+1+22+19+18)</f>
        <v>0</v>
      </c>
      <c r="P79" s="41">
        <f>100*1/(14+4+1+22+19+18)</f>
        <v>1.282051282</v>
      </c>
      <c r="Q79" s="41">
        <f>100*7/(14+4+1+22+19+18)</f>
        <v>8.974358974</v>
      </c>
      <c r="R79" s="41">
        <f>100*(14+21+17+17)/(14+4+1+22+19+18)</f>
        <v>88.46153846</v>
      </c>
      <c r="S79" s="34">
        <f t="shared" si="2"/>
        <v>100</v>
      </c>
      <c r="T79" s="35">
        <f t="shared" si="3"/>
        <v>93.01282051</v>
      </c>
      <c r="U79" s="37"/>
    </row>
    <row r="80">
      <c r="A80" s="40" t="s">
        <v>114</v>
      </c>
      <c r="B80" s="28">
        <v>12.0</v>
      </c>
      <c r="C80" s="29">
        <v>0.15</v>
      </c>
      <c r="D80" s="28">
        <v>0.0</v>
      </c>
      <c r="E80" s="29">
        <v>0.0</v>
      </c>
      <c r="F80" s="28">
        <v>1.0</v>
      </c>
      <c r="G80" s="29">
        <v>0.35</v>
      </c>
      <c r="H80" s="28">
        <v>3.0</v>
      </c>
      <c r="I80" s="29">
        <v>0.45</v>
      </c>
      <c r="J80" s="28">
        <v>0.0</v>
      </c>
      <c r="K80" s="29">
        <v>0.0</v>
      </c>
      <c r="L80" s="30">
        <v>0.05</v>
      </c>
      <c r="M80" s="31">
        <f t="shared" si="6"/>
        <v>1</v>
      </c>
      <c r="N80" s="32">
        <v>0.0</v>
      </c>
      <c r="O80" s="32">
        <v>0.0</v>
      </c>
      <c r="P80" s="32">
        <v>5.05</v>
      </c>
      <c r="Q80" s="32">
        <v>36.36</v>
      </c>
      <c r="R80" s="32">
        <v>58.59</v>
      </c>
      <c r="S80" s="34">
        <f t="shared" si="2"/>
        <v>100</v>
      </c>
      <c r="T80" s="35">
        <f t="shared" si="3"/>
        <v>90.354</v>
      </c>
      <c r="U80" s="37"/>
    </row>
    <row r="81">
      <c r="A81" s="38" t="s">
        <v>115</v>
      </c>
      <c r="B81" s="28">
        <v>10.0</v>
      </c>
      <c r="C81" s="29">
        <v>0.15</v>
      </c>
      <c r="D81" s="28">
        <v>0.0</v>
      </c>
      <c r="E81" s="29">
        <v>0.0</v>
      </c>
      <c r="F81" s="28">
        <v>1.0</v>
      </c>
      <c r="G81" s="29">
        <v>0.3</v>
      </c>
      <c r="H81" s="28">
        <v>2.0</v>
      </c>
      <c r="I81" s="29">
        <v>0.4</v>
      </c>
      <c r="J81" s="28">
        <v>3.0</v>
      </c>
      <c r="K81" s="29">
        <v>0.15</v>
      </c>
      <c r="L81" s="30">
        <v>0.0</v>
      </c>
      <c r="M81" s="31">
        <f t="shared" si="6"/>
        <v>1</v>
      </c>
      <c r="N81" s="32">
        <v>0.0</v>
      </c>
      <c r="O81" s="32">
        <v>0.0</v>
      </c>
      <c r="P81" s="32">
        <v>2.53</v>
      </c>
      <c r="Q81" s="32">
        <v>16.46</v>
      </c>
      <c r="R81" s="32">
        <v>81.01</v>
      </c>
      <c r="S81" s="34">
        <f t="shared" si="2"/>
        <v>100</v>
      </c>
      <c r="T81" s="35">
        <f t="shared" si="3"/>
        <v>92.848</v>
      </c>
      <c r="U81" s="37"/>
    </row>
    <row r="82">
      <c r="A82" s="38" t="s">
        <v>116</v>
      </c>
      <c r="B82" s="28">
        <v>10.0</v>
      </c>
      <c r="C82" s="29">
        <v>0.1</v>
      </c>
      <c r="D82" s="28">
        <v>0.0</v>
      </c>
      <c r="E82" s="29">
        <v>0.0</v>
      </c>
      <c r="F82" s="28">
        <v>1.0</v>
      </c>
      <c r="G82" s="29">
        <v>0.35</v>
      </c>
      <c r="H82" s="28">
        <v>2.0</v>
      </c>
      <c r="I82" s="29">
        <v>0.4</v>
      </c>
      <c r="J82" s="28">
        <v>4.0</v>
      </c>
      <c r="K82" s="29">
        <v>0.1</v>
      </c>
      <c r="L82" s="30">
        <v>0.05</v>
      </c>
      <c r="M82" s="31">
        <f t="shared" si="6"/>
        <v>1</v>
      </c>
      <c r="N82" s="32">
        <v>0.0</v>
      </c>
      <c r="O82" s="32">
        <v>0.0</v>
      </c>
      <c r="P82" s="32">
        <v>2.38</v>
      </c>
      <c r="Q82" s="32">
        <v>57.14</v>
      </c>
      <c r="R82" s="32">
        <v>40.48</v>
      </c>
      <c r="S82" s="34">
        <f t="shared" si="2"/>
        <v>100</v>
      </c>
      <c r="T82" s="35">
        <f t="shared" si="3"/>
        <v>88.81</v>
      </c>
      <c r="U82" s="37"/>
    </row>
    <row r="83">
      <c r="A83" s="38" t="s">
        <v>117</v>
      </c>
      <c r="B83" s="28">
        <v>38.0</v>
      </c>
      <c r="C83" s="29">
        <v>0.49</v>
      </c>
      <c r="D83" s="28">
        <v>2.0</v>
      </c>
      <c r="E83" s="29">
        <v>0.51</v>
      </c>
      <c r="F83" s="28">
        <v>0.0</v>
      </c>
      <c r="G83" s="29">
        <v>0.0</v>
      </c>
      <c r="H83" s="28">
        <v>0.0</v>
      </c>
      <c r="I83" s="29">
        <v>0.0</v>
      </c>
      <c r="J83" s="28">
        <v>0.0</v>
      </c>
      <c r="K83" s="29">
        <v>0.0</v>
      </c>
      <c r="L83" s="30">
        <v>0.0</v>
      </c>
      <c r="M83" s="31">
        <f t="shared" si="6"/>
        <v>1</v>
      </c>
      <c r="N83" s="32">
        <v>2.27</v>
      </c>
      <c r="O83" s="32">
        <v>2.27</v>
      </c>
      <c r="P83" s="32">
        <v>9.09</v>
      </c>
      <c r="Q83" s="32">
        <v>15.92</v>
      </c>
      <c r="R83" s="32">
        <v>70.45</v>
      </c>
      <c r="S83" s="34">
        <f t="shared" si="2"/>
        <v>100</v>
      </c>
      <c r="T83" s="35">
        <f t="shared" si="3"/>
        <v>89.4335</v>
      </c>
      <c r="U83" s="37"/>
    </row>
    <row r="84">
      <c r="A84" s="38" t="s">
        <v>118</v>
      </c>
      <c r="B84" s="28">
        <v>6.0</v>
      </c>
      <c r="C84" s="29">
        <v>0.15</v>
      </c>
      <c r="D84" s="28">
        <v>2.0</v>
      </c>
      <c r="E84" s="29">
        <v>0.25</v>
      </c>
      <c r="F84" s="28">
        <v>0.0</v>
      </c>
      <c r="G84" s="29">
        <v>0.0</v>
      </c>
      <c r="H84" s="28">
        <v>3.0</v>
      </c>
      <c r="I84" s="29">
        <v>0.6</v>
      </c>
      <c r="J84" s="28">
        <v>0.0</v>
      </c>
      <c r="K84" s="29">
        <v>0.0</v>
      </c>
      <c r="L84" s="30">
        <v>0.0</v>
      </c>
      <c r="M84" s="31">
        <f t="shared" si="6"/>
        <v>1</v>
      </c>
      <c r="N84" s="32">
        <v>0.78</v>
      </c>
      <c r="O84" s="32">
        <v>0.0</v>
      </c>
      <c r="P84" s="32">
        <v>14.06</v>
      </c>
      <c r="Q84" s="32">
        <v>40.63</v>
      </c>
      <c r="R84" s="32">
        <v>44.53</v>
      </c>
      <c r="S84" s="34">
        <f t="shared" si="2"/>
        <v>100</v>
      </c>
      <c r="T84" s="35">
        <f t="shared" si="3"/>
        <v>87.618</v>
      </c>
      <c r="U84" s="37"/>
    </row>
    <row r="85">
      <c r="A85" s="38" t="s">
        <v>119</v>
      </c>
      <c r="B85" s="28">
        <v>5.0</v>
      </c>
      <c r="C85" s="29">
        <v>0.3</v>
      </c>
      <c r="D85" s="28">
        <v>4.0</v>
      </c>
      <c r="E85" s="29">
        <v>0.45</v>
      </c>
      <c r="F85" s="28">
        <v>0.0</v>
      </c>
      <c r="G85" s="29">
        <v>0.0</v>
      </c>
      <c r="H85" s="28">
        <v>0.0</v>
      </c>
      <c r="I85" s="29">
        <v>0.0</v>
      </c>
      <c r="J85" s="28">
        <v>4.0</v>
      </c>
      <c r="K85" s="29">
        <v>0.15</v>
      </c>
      <c r="L85" s="30">
        <v>0.1</v>
      </c>
      <c r="M85" s="31">
        <f t="shared" si="6"/>
        <v>1</v>
      </c>
      <c r="N85" s="44">
        <v>0.0</v>
      </c>
      <c r="O85" s="44">
        <v>0.0</v>
      </c>
      <c r="P85" s="44">
        <v>4.55</v>
      </c>
      <c r="Q85" s="44">
        <v>36.36</v>
      </c>
      <c r="R85" s="44">
        <v>59.09</v>
      </c>
      <c r="S85" s="34">
        <f t="shared" si="2"/>
        <v>100</v>
      </c>
      <c r="T85" s="35">
        <f t="shared" si="3"/>
        <v>90.454</v>
      </c>
      <c r="U85" s="37"/>
    </row>
    <row r="86">
      <c r="A86" s="38" t="s">
        <v>120</v>
      </c>
      <c r="B86" s="28">
        <v>0.0</v>
      </c>
      <c r="C86" s="29">
        <v>0.0</v>
      </c>
      <c r="D86" s="28">
        <v>3.0</v>
      </c>
      <c r="E86" s="29">
        <v>1.0</v>
      </c>
      <c r="F86" s="28">
        <v>0.0</v>
      </c>
      <c r="G86" s="29">
        <v>0.0</v>
      </c>
      <c r="H86" s="28">
        <v>0.0</v>
      </c>
      <c r="I86" s="29">
        <v>0.0</v>
      </c>
      <c r="J86" s="28">
        <v>0.0</v>
      </c>
      <c r="K86" s="29">
        <v>0.0</v>
      </c>
      <c r="L86" s="30">
        <v>0.0</v>
      </c>
      <c r="M86" s="31">
        <f t="shared" si="6"/>
        <v>1</v>
      </c>
      <c r="N86" s="32">
        <v>0.0</v>
      </c>
      <c r="O86" s="32">
        <v>7.69</v>
      </c>
      <c r="P86" s="32">
        <v>23.08</v>
      </c>
      <c r="Q86" s="32">
        <v>38.46</v>
      </c>
      <c r="R86" s="32">
        <v>30.77</v>
      </c>
      <c r="S86" s="34">
        <f t="shared" si="2"/>
        <v>100</v>
      </c>
      <c r="T86" s="35">
        <f t="shared" si="3"/>
        <v>84.231</v>
      </c>
      <c r="U86" s="37"/>
    </row>
    <row r="87">
      <c r="A87" s="38" t="s">
        <v>121</v>
      </c>
      <c r="B87" s="28">
        <v>12.0</v>
      </c>
      <c r="C87" s="29">
        <v>0.2</v>
      </c>
      <c r="D87" s="28">
        <v>1.0</v>
      </c>
      <c r="E87" s="29">
        <v>0.35</v>
      </c>
      <c r="F87" s="28">
        <v>0.0</v>
      </c>
      <c r="G87" s="29">
        <v>0.0</v>
      </c>
      <c r="H87" s="28">
        <v>0.0</v>
      </c>
      <c r="I87" s="29">
        <v>0.0</v>
      </c>
      <c r="J87" s="28">
        <v>2.0</v>
      </c>
      <c r="K87" s="29">
        <v>0.4</v>
      </c>
      <c r="L87" s="30">
        <v>0.05</v>
      </c>
      <c r="M87" s="31">
        <f t="shared" si="6"/>
        <v>1</v>
      </c>
      <c r="N87" s="32">
        <v>0.0</v>
      </c>
      <c r="O87" s="32">
        <v>0.0</v>
      </c>
      <c r="P87" s="32">
        <v>0.0</v>
      </c>
      <c r="Q87" s="32">
        <v>26.47</v>
      </c>
      <c r="R87" s="32">
        <v>73.53</v>
      </c>
      <c r="S87" s="34">
        <f t="shared" si="2"/>
        <v>100</v>
      </c>
      <c r="T87" s="35">
        <f t="shared" si="3"/>
        <v>92.353</v>
      </c>
      <c r="U87" s="37"/>
    </row>
    <row r="88">
      <c r="A88" s="40" t="s">
        <v>122</v>
      </c>
      <c r="B88" s="28">
        <v>4.0</v>
      </c>
      <c r="C88" s="29">
        <v>0.4</v>
      </c>
      <c r="D88" s="28">
        <v>1.0</v>
      </c>
      <c r="E88" s="29">
        <v>0.2</v>
      </c>
      <c r="F88" s="28">
        <v>0.0</v>
      </c>
      <c r="G88" s="29">
        <v>0.0</v>
      </c>
      <c r="H88" s="28">
        <v>2.0</v>
      </c>
      <c r="I88" s="29">
        <v>0.4</v>
      </c>
      <c r="J88" s="28">
        <v>0.0</v>
      </c>
      <c r="K88" s="29">
        <v>0.0</v>
      </c>
      <c r="L88" s="30">
        <v>0.0</v>
      </c>
      <c r="M88" s="31">
        <f t="shared" si="6"/>
        <v>1</v>
      </c>
      <c r="N88" s="32">
        <v>0.0</v>
      </c>
      <c r="O88" s="32">
        <v>0.0</v>
      </c>
      <c r="P88" s="32">
        <v>0.0</v>
      </c>
      <c r="Q88" s="32">
        <v>14.29</v>
      </c>
      <c r="R88" s="32">
        <v>85.71</v>
      </c>
      <c r="S88" s="34">
        <f t="shared" si="2"/>
        <v>100</v>
      </c>
      <c r="T88" s="35">
        <f t="shared" si="3"/>
        <v>93.571</v>
      </c>
      <c r="U88" s="37"/>
    </row>
    <row r="89">
      <c r="A89" s="40" t="s">
        <v>123</v>
      </c>
      <c r="B89" s="28">
        <v>12.0</v>
      </c>
      <c r="C89" s="29">
        <v>0.2</v>
      </c>
      <c r="D89" s="28">
        <v>1.0</v>
      </c>
      <c r="E89" s="29">
        <v>0.3</v>
      </c>
      <c r="F89" s="28">
        <v>0.0</v>
      </c>
      <c r="G89" s="29">
        <v>0.0</v>
      </c>
      <c r="H89" s="28">
        <v>2.0</v>
      </c>
      <c r="I89" s="29">
        <v>0.5</v>
      </c>
      <c r="J89" s="28">
        <v>0.0</v>
      </c>
      <c r="K89" s="29">
        <v>0.0</v>
      </c>
      <c r="L89" s="30">
        <v>0.0</v>
      </c>
      <c r="M89" s="31">
        <f t="shared" si="6"/>
        <v>1</v>
      </c>
      <c r="N89" s="32">
        <v>0.0</v>
      </c>
      <c r="O89" s="32">
        <v>0.0</v>
      </c>
      <c r="P89" s="32">
        <v>6.67</v>
      </c>
      <c r="Q89" s="32">
        <v>33.33</v>
      </c>
      <c r="R89" s="32">
        <v>60.0</v>
      </c>
      <c r="S89" s="34">
        <f t="shared" si="2"/>
        <v>100</v>
      </c>
      <c r="T89" s="35">
        <f t="shared" si="3"/>
        <v>90.333</v>
      </c>
      <c r="U89" s="37"/>
    </row>
    <row r="90">
      <c r="A90" s="40" t="s">
        <v>124</v>
      </c>
      <c r="B90" s="28">
        <v>12.0</v>
      </c>
      <c r="C90" s="29">
        <v>0.15</v>
      </c>
      <c r="D90" s="28">
        <v>0.0</v>
      </c>
      <c r="E90" s="29">
        <v>0.0</v>
      </c>
      <c r="F90" s="28">
        <v>1.0</v>
      </c>
      <c r="G90" s="29">
        <v>0.2</v>
      </c>
      <c r="H90" s="28">
        <v>3.0</v>
      </c>
      <c r="I90" s="29">
        <v>0.6</v>
      </c>
      <c r="J90" s="28">
        <v>21.0</v>
      </c>
      <c r="K90" s="29">
        <v>0.05</v>
      </c>
      <c r="L90" s="30">
        <v>0.0</v>
      </c>
      <c r="M90" s="31">
        <f t="shared" si="6"/>
        <v>1</v>
      </c>
      <c r="N90" s="32">
        <v>0.0</v>
      </c>
      <c r="O90" s="32">
        <v>0.0</v>
      </c>
      <c r="P90" s="32">
        <v>7.14</v>
      </c>
      <c r="Q90" s="32">
        <v>42.86</v>
      </c>
      <c r="R90" s="32">
        <v>50.0</v>
      </c>
      <c r="S90" s="34">
        <f t="shared" si="2"/>
        <v>100</v>
      </c>
      <c r="T90" s="35">
        <f t="shared" si="3"/>
        <v>89.286</v>
      </c>
      <c r="U90" s="37"/>
    </row>
    <row r="91">
      <c r="A91" s="38" t="s">
        <v>125</v>
      </c>
      <c r="B91" s="28">
        <v>14.0</v>
      </c>
      <c r="C91" s="29">
        <v>0.2</v>
      </c>
      <c r="D91" s="28">
        <v>1.0</v>
      </c>
      <c r="E91" s="29">
        <v>0.1</v>
      </c>
      <c r="F91" s="28">
        <v>1.0</v>
      </c>
      <c r="G91" s="29">
        <v>0.3</v>
      </c>
      <c r="H91" s="28">
        <v>2.0</v>
      </c>
      <c r="I91" s="29">
        <v>0.35</v>
      </c>
      <c r="J91" s="28">
        <v>0.0</v>
      </c>
      <c r="K91" s="29">
        <v>0.0</v>
      </c>
      <c r="L91" s="30">
        <v>0.05</v>
      </c>
      <c r="M91" s="31">
        <f t="shared" si="6"/>
        <v>1</v>
      </c>
      <c r="N91" s="32">
        <v>0.0</v>
      </c>
      <c r="O91" s="32">
        <v>0.6</v>
      </c>
      <c r="P91" s="32">
        <v>7.78</v>
      </c>
      <c r="Q91" s="32">
        <v>46.11</v>
      </c>
      <c r="R91" s="32">
        <v>45.51</v>
      </c>
      <c r="S91" s="34">
        <f t="shared" si="2"/>
        <v>100</v>
      </c>
      <c r="T91" s="35">
        <f t="shared" si="3"/>
        <v>88.653</v>
      </c>
      <c r="U91" s="37"/>
    </row>
    <row r="92">
      <c r="A92" s="40" t="s">
        <v>128</v>
      </c>
      <c r="B92" s="28">
        <v>13.0</v>
      </c>
      <c r="C92" s="29">
        <v>0.2</v>
      </c>
      <c r="D92" s="28">
        <v>3.0</v>
      </c>
      <c r="E92" s="29">
        <v>0.55</v>
      </c>
      <c r="F92" s="28">
        <v>0.0</v>
      </c>
      <c r="G92" s="29">
        <v>0.0</v>
      </c>
      <c r="H92" s="28">
        <v>3.0</v>
      </c>
      <c r="I92" s="29">
        <v>0.2</v>
      </c>
      <c r="J92" s="28">
        <v>30.0</v>
      </c>
      <c r="K92" s="29">
        <v>0.05</v>
      </c>
      <c r="L92" s="30">
        <v>0.0</v>
      </c>
      <c r="M92" s="31">
        <f t="shared" si="6"/>
        <v>1</v>
      </c>
      <c r="N92" s="32">
        <v>3.85</v>
      </c>
      <c r="O92" s="32">
        <v>3.85</v>
      </c>
      <c r="P92" s="32">
        <v>0.0</v>
      </c>
      <c r="Q92" s="32">
        <v>42.3</v>
      </c>
      <c r="R92" s="32">
        <v>50.0</v>
      </c>
      <c r="S92" s="34">
        <f t="shared" si="2"/>
        <v>100</v>
      </c>
      <c r="T92" s="35">
        <f t="shared" si="3"/>
        <v>87.1125</v>
      </c>
      <c r="U92" s="37"/>
    </row>
    <row r="93">
      <c r="A93" s="38" t="s">
        <v>129</v>
      </c>
      <c r="B93" s="28">
        <v>8.0</v>
      </c>
      <c r="C93" s="29">
        <v>0.14</v>
      </c>
      <c r="D93" s="28">
        <v>0.0</v>
      </c>
      <c r="E93" s="29">
        <v>0.0</v>
      </c>
      <c r="F93" s="28">
        <v>1.0</v>
      </c>
      <c r="G93" s="29">
        <v>0.25</v>
      </c>
      <c r="H93" s="28">
        <v>3.0</v>
      </c>
      <c r="I93" s="29">
        <v>0.45</v>
      </c>
      <c r="J93" s="28">
        <v>0.0</v>
      </c>
      <c r="K93" s="29">
        <v>0.0</v>
      </c>
      <c r="L93" s="30">
        <v>0.16</v>
      </c>
      <c r="M93" s="31">
        <f t="shared" si="6"/>
        <v>1</v>
      </c>
      <c r="N93" s="32">
        <v>6.14</v>
      </c>
      <c r="O93" s="32">
        <v>2.63</v>
      </c>
      <c r="P93" s="32">
        <v>18.42</v>
      </c>
      <c r="Q93" s="32">
        <v>21.93</v>
      </c>
      <c r="R93" s="32">
        <v>50.88</v>
      </c>
      <c r="S93" s="34">
        <f t="shared" si="2"/>
        <v>100</v>
      </c>
      <c r="T93" s="35">
        <f t="shared" si="3"/>
        <v>84.343</v>
      </c>
      <c r="U93" s="37"/>
    </row>
    <row r="94">
      <c r="A94" s="38" t="s">
        <v>130</v>
      </c>
      <c r="B94" s="28">
        <v>12.0</v>
      </c>
      <c r="C94" s="29">
        <v>0.05</v>
      </c>
      <c r="D94" s="28">
        <v>0.0</v>
      </c>
      <c r="E94" s="29">
        <v>0.0</v>
      </c>
      <c r="F94" s="28">
        <v>1.0</v>
      </c>
      <c r="G94" s="29">
        <v>0.3</v>
      </c>
      <c r="H94" s="28">
        <v>3.0</v>
      </c>
      <c r="I94" s="29">
        <v>0.55</v>
      </c>
      <c r="J94" s="28">
        <v>15.0</v>
      </c>
      <c r="K94" s="29">
        <v>0.1</v>
      </c>
      <c r="L94" s="30">
        <v>0.0</v>
      </c>
      <c r="M94" s="31">
        <f t="shared" si="6"/>
        <v>1</v>
      </c>
      <c r="N94" s="32">
        <v>1.68</v>
      </c>
      <c r="O94" s="32">
        <v>1.68</v>
      </c>
      <c r="P94" s="32">
        <v>33.62</v>
      </c>
      <c r="Q94" s="32">
        <v>31.93</v>
      </c>
      <c r="R94" s="32">
        <v>31.09</v>
      </c>
      <c r="S94" s="34">
        <f t="shared" si="2"/>
        <v>100</v>
      </c>
      <c r="T94" s="35">
        <f t="shared" si="3"/>
        <v>83.487</v>
      </c>
      <c r="U94" s="37"/>
    </row>
    <row r="95">
      <c r="A95" s="38" t="s">
        <v>131</v>
      </c>
      <c r="B95" s="28">
        <v>9.0</v>
      </c>
      <c r="C95" s="29">
        <v>0.27</v>
      </c>
      <c r="D95" s="28">
        <v>5.0</v>
      </c>
      <c r="E95" s="29">
        <v>0.49</v>
      </c>
      <c r="F95" s="28">
        <v>0.0</v>
      </c>
      <c r="G95" s="29">
        <v>0.0</v>
      </c>
      <c r="H95" s="28">
        <v>0.0</v>
      </c>
      <c r="I95" s="29">
        <v>0.0</v>
      </c>
      <c r="J95" s="28">
        <v>5.0</v>
      </c>
      <c r="K95" s="29">
        <v>0.15</v>
      </c>
      <c r="L95" s="30">
        <v>0.09</v>
      </c>
      <c r="M95" s="31">
        <f t="shared" si="6"/>
        <v>1</v>
      </c>
      <c r="N95" s="32">
        <v>0.0</v>
      </c>
      <c r="O95" s="32">
        <v>0.0</v>
      </c>
      <c r="P95" s="32">
        <v>9.37</v>
      </c>
      <c r="Q95" s="32">
        <v>28.13</v>
      </c>
      <c r="R95" s="32">
        <v>62.5</v>
      </c>
      <c r="S95" s="34">
        <f t="shared" si="2"/>
        <v>100</v>
      </c>
      <c r="T95" s="35">
        <f t="shared" si="3"/>
        <v>90.313</v>
      </c>
      <c r="U95" s="37"/>
    </row>
    <row r="96">
      <c r="A96" s="38" t="s">
        <v>132</v>
      </c>
      <c r="B96" s="28">
        <v>11.0</v>
      </c>
      <c r="C96" s="29">
        <v>0.2</v>
      </c>
      <c r="D96" s="28">
        <v>0.0</v>
      </c>
      <c r="E96" s="29">
        <v>0.0</v>
      </c>
      <c r="F96" s="28">
        <v>1.0</v>
      </c>
      <c r="G96" s="29">
        <v>0.4</v>
      </c>
      <c r="H96" s="28">
        <v>2.0</v>
      </c>
      <c r="I96" s="29">
        <v>0.4</v>
      </c>
      <c r="J96" s="28">
        <v>0.0</v>
      </c>
      <c r="K96" s="29">
        <v>0.0</v>
      </c>
      <c r="L96" s="30">
        <v>0.0</v>
      </c>
      <c r="M96" s="31">
        <f t="shared" si="6"/>
        <v>1</v>
      </c>
      <c r="N96" s="32">
        <v>0.0</v>
      </c>
      <c r="O96" s="32">
        <v>1.03</v>
      </c>
      <c r="P96" s="32">
        <v>40.21</v>
      </c>
      <c r="Q96" s="32">
        <v>23.71</v>
      </c>
      <c r="R96" s="32">
        <v>35.05</v>
      </c>
      <c r="S96" s="34">
        <f t="shared" si="2"/>
        <v>100</v>
      </c>
      <c r="T96" s="35">
        <f t="shared" si="3"/>
        <v>84.278</v>
      </c>
      <c r="U96" s="37"/>
    </row>
    <row r="97">
      <c r="A97" s="38" t="s">
        <v>133</v>
      </c>
      <c r="B97" s="28">
        <v>12.0</v>
      </c>
      <c r="C97" s="29">
        <v>0.15</v>
      </c>
      <c r="D97" s="28">
        <v>3.0</v>
      </c>
      <c r="E97" s="29">
        <v>0.15</v>
      </c>
      <c r="F97" s="28">
        <v>1.0</v>
      </c>
      <c r="G97" s="29">
        <v>0.25</v>
      </c>
      <c r="H97" s="28">
        <v>3.0</v>
      </c>
      <c r="I97" s="29">
        <v>0.4</v>
      </c>
      <c r="J97" s="28">
        <v>15.0</v>
      </c>
      <c r="K97" s="29">
        <v>0.05</v>
      </c>
      <c r="L97" s="30">
        <v>0.0</v>
      </c>
      <c r="M97" s="31">
        <f t="shared" si="6"/>
        <v>1</v>
      </c>
      <c r="N97" s="32">
        <v>0.86</v>
      </c>
      <c r="O97" s="32">
        <v>0.0</v>
      </c>
      <c r="P97" s="32">
        <v>4.31</v>
      </c>
      <c r="Q97" s="32">
        <v>43.97</v>
      </c>
      <c r="R97" s="32">
        <v>50.86</v>
      </c>
      <c r="S97" s="34">
        <f t="shared" si="2"/>
        <v>100</v>
      </c>
      <c r="T97" s="35">
        <f t="shared" si="3"/>
        <v>89.182</v>
      </c>
      <c r="U97" s="37"/>
    </row>
    <row r="98">
      <c r="A98" s="40" t="s">
        <v>134</v>
      </c>
      <c r="B98" s="28">
        <v>13.0</v>
      </c>
      <c r="C98" s="29">
        <v>0.2</v>
      </c>
      <c r="D98" s="28">
        <v>5.0</v>
      </c>
      <c r="E98" s="29">
        <v>0.5</v>
      </c>
      <c r="F98" s="28">
        <v>0.0</v>
      </c>
      <c r="G98" s="29">
        <v>0.0</v>
      </c>
      <c r="H98" s="28">
        <v>3.0</v>
      </c>
      <c r="I98" s="29">
        <v>0.2</v>
      </c>
      <c r="J98" s="28">
        <v>30.0</v>
      </c>
      <c r="K98" s="29">
        <v>0.1</v>
      </c>
      <c r="L98" s="30">
        <v>0.0</v>
      </c>
      <c r="M98" s="31">
        <f t="shared" si="6"/>
        <v>1</v>
      </c>
      <c r="N98" s="32">
        <v>0.0</v>
      </c>
      <c r="O98" s="32">
        <v>1.85</v>
      </c>
      <c r="P98" s="32">
        <v>3.7</v>
      </c>
      <c r="Q98" s="32">
        <v>24.07</v>
      </c>
      <c r="R98" s="32">
        <v>70.38</v>
      </c>
      <c r="S98" s="34">
        <f t="shared" si="2"/>
        <v>100</v>
      </c>
      <c r="T98" s="35">
        <f t="shared" si="3"/>
        <v>91.298</v>
      </c>
      <c r="U98" s="37"/>
    </row>
    <row r="99">
      <c r="A99" s="48" t="s">
        <v>138</v>
      </c>
      <c r="B99" s="28">
        <v>13.0</v>
      </c>
      <c r="C99" s="29">
        <v>0.1</v>
      </c>
      <c r="D99" s="28">
        <v>0.0</v>
      </c>
      <c r="E99" s="29">
        <v>0.0</v>
      </c>
      <c r="F99" s="28">
        <v>1.0</v>
      </c>
      <c r="G99" s="29">
        <v>0.25</v>
      </c>
      <c r="H99" s="28">
        <v>2.0</v>
      </c>
      <c r="I99" s="29">
        <v>0.5</v>
      </c>
      <c r="J99" s="28">
        <v>11.0</v>
      </c>
      <c r="K99" s="29">
        <v>0.1</v>
      </c>
      <c r="L99" s="30">
        <v>0.05</v>
      </c>
      <c r="M99" s="31">
        <f t="shared" si="6"/>
        <v>1</v>
      </c>
      <c r="N99" s="32">
        <v>0.8</v>
      </c>
      <c r="O99" s="32">
        <v>3.4</v>
      </c>
      <c r="P99" s="32">
        <v>6.6</v>
      </c>
      <c r="Q99" s="32">
        <v>32.2</v>
      </c>
      <c r="R99" s="32">
        <v>57.0</v>
      </c>
      <c r="S99" s="34">
        <f t="shared" si="2"/>
        <v>100</v>
      </c>
      <c r="T99" s="35">
        <f t="shared" si="3"/>
        <v>88.92</v>
      </c>
      <c r="U99" s="37"/>
      <c r="V99" s="59"/>
      <c r="W99" s="59"/>
    </row>
    <row r="100">
      <c r="A100" s="48" t="s">
        <v>139</v>
      </c>
      <c r="B100" s="28">
        <v>9.0</v>
      </c>
      <c r="C100" s="29">
        <v>0.3</v>
      </c>
      <c r="D100" s="28">
        <v>1.0</v>
      </c>
      <c r="E100" s="29">
        <v>0.15</v>
      </c>
      <c r="F100" s="28">
        <v>1.0</v>
      </c>
      <c r="G100" s="29">
        <v>0.2</v>
      </c>
      <c r="H100" s="28">
        <v>2.0</v>
      </c>
      <c r="I100" s="29">
        <v>0.35</v>
      </c>
      <c r="J100" s="28">
        <v>0.0</v>
      </c>
      <c r="K100" s="29">
        <v>0.0</v>
      </c>
      <c r="L100" s="30">
        <v>0.0</v>
      </c>
      <c r="M100" s="31">
        <f t="shared" si="6"/>
        <v>1</v>
      </c>
      <c r="N100" s="32">
        <v>2.28</v>
      </c>
      <c r="O100" s="32">
        <v>13.58</v>
      </c>
      <c r="P100" s="32">
        <v>13.58</v>
      </c>
      <c r="Q100" s="32">
        <v>29.58</v>
      </c>
      <c r="R100" s="32">
        <v>40.98</v>
      </c>
      <c r="S100" s="34">
        <f t="shared" si="2"/>
        <v>100</v>
      </c>
      <c r="T100" s="35">
        <f t="shared" si="3"/>
        <v>83.77</v>
      </c>
      <c r="U100" s="37"/>
      <c r="V100" s="59"/>
      <c r="W100" s="59"/>
    </row>
    <row r="101">
      <c r="A101" s="48" t="s">
        <v>140</v>
      </c>
      <c r="B101" s="28">
        <v>9.0</v>
      </c>
      <c r="C101" s="29">
        <v>0.3</v>
      </c>
      <c r="D101" s="28">
        <v>1.0</v>
      </c>
      <c r="E101" s="29">
        <v>0.15</v>
      </c>
      <c r="F101" s="28">
        <v>1.0</v>
      </c>
      <c r="G101" s="29">
        <v>0.2</v>
      </c>
      <c r="H101" s="28">
        <v>2.0</v>
      </c>
      <c r="I101" s="29">
        <v>0.35</v>
      </c>
      <c r="J101" s="28">
        <v>0.0</v>
      </c>
      <c r="K101" s="29">
        <v>0.0</v>
      </c>
      <c r="L101" s="30">
        <v>0.0</v>
      </c>
      <c r="M101" s="31">
        <f t="shared" si="6"/>
        <v>1</v>
      </c>
      <c r="N101" s="32">
        <v>0.4</v>
      </c>
      <c r="O101" s="32">
        <v>10.4</v>
      </c>
      <c r="P101" s="32">
        <v>14.4</v>
      </c>
      <c r="Q101" s="32">
        <v>44.4</v>
      </c>
      <c r="R101" s="32">
        <v>30.4</v>
      </c>
      <c r="S101" s="34">
        <f t="shared" si="2"/>
        <v>100</v>
      </c>
      <c r="T101" s="35">
        <f t="shared" si="3"/>
        <v>84.3</v>
      </c>
      <c r="U101" s="37"/>
      <c r="V101" s="59"/>
      <c r="W101" s="59"/>
    </row>
    <row r="102">
      <c r="A102" s="48" t="s">
        <v>141</v>
      </c>
      <c r="B102" s="28">
        <v>9.0</v>
      </c>
      <c r="C102" s="29">
        <v>0.3</v>
      </c>
      <c r="D102" s="28">
        <v>1.0</v>
      </c>
      <c r="E102" s="29">
        <v>0.15</v>
      </c>
      <c r="F102" s="28">
        <v>1.0</v>
      </c>
      <c r="G102" s="29">
        <v>0.2</v>
      </c>
      <c r="H102" s="28">
        <v>2.0</v>
      </c>
      <c r="I102" s="29">
        <v>0.35</v>
      </c>
      <c r="J102" s="28">
        <v>0.0</v>
      </c>
      <c r="K102" s="29">
        <v>0.0</v>
      </c>
      <c r="L102" s="30">
        <v>0.0</v>
      </c>
      <c r="M102" s="31">
        <f t="shared" si="6"/>
        <v>1</v>
      </c>
      <c r="N102" s="32">
        <v>0.02</v>
      </c>
      <c r="O102" s="32">
        <v>6.92</v>
      </c>
      <c r="P102" s="32">
        <v>13.82</v>
      </c>
      <c r="Q102" s="32">
        <v>37.92</v>
      </c>
      <c r="R102" s="32">
        <v>41.32</v>
      </c>
      <c r="S102" s="34">
        <f t="shared" si="2"/>
        <v>100</v>
      </c>
      <c r="T102" s="35">
        <f t="shared" si="3"/>
        <v>86.355</v>
      </c>
      <c r="U102" s="37"/>
      <c r="V102" s="59"/>
      <c r="W102" s="59"/>
    </row>
    <row r="103">
      <c r="A103" s="49" t="s">
        <v>142</v>
      </c>
      <c r="B103" s="50" t="s">
        <v>142</v>
      </c>
      <c r="C103" s="51" t="s">
        <v>142</v>
      </c>
      <c r="D103" s="51" t="s">
        <v>142</v>
      </c>
      <c r="E103" s="51" t="s">
        <v>142</v>
      </c>
      <c r="F103" s="51" t="s">
        <v>142</v>
      </c>
      <c r="G103" s="51" t="s">
        <v>142</v>
      </c>
      <c r="H103" s="51" t="s">
        <v>142</v>
      </c>
      <c r="I103" s="51" t="s">
        <v>142</v>
      </c>
      <c r="J103" s="51" t="s">
        <v>142</v>
      </c>
      <c r="K103" s="51" t="s">
        <v>142</v>
      </c>
      <c r="L103" s="52" t="s">
        <v>142</v>
      </c>
      <c r="M103" s="53" t="s">
        <v>142</v>
      </c>
      <c r="N103" s="54" t="s">
        <v>142</v>
      </c>
      <c r="O103" s="54" t="s">
        <v>142</v>
      </c>
      <c r="P103" s="54" t="s">
        <v>142</v>
      </c>
      <c r="Q103" s="54" t="s">
        <v>142</v>
      </c>
      <c r="R103" s="54" t="s">
        <v>142</v>
      </c>
      <c r="S103" s="55" t="s">
        <v>142</v>
      </c>
      <c r="T103" s="50" t="s">
        <v>142</v>
      </c>
      <c r="U103" s="76"/>
      <c r="V103" s="59"/>
      <c r="W103" s="59"/>
    </row>
    <row r="104">
      <c r="A104" s="58" t="s">
        <v>143</v>
      </c>
      <c r="B104" s="59"/>
      <c r="C104" s="60"/>
      <c r="D104" s="59"/>
      <c r="E104" s="60"/>
      <c r="F104" s="59"/>
      <c r="G104" s="60"/>
      <c r="H104" s="59"/>
      <c r="I104" s="60"/>
      <c r="J104" s="59"/>
      <c r="K104" s="60"/>
      <c r="L104" s="60"/>
      <c r="M104" s="59"/>
      <c r="N104" s="61"/>
      <c r="O104" s="61"/>
      <c r="P104" s="61"/>
      <c r="Q104" s="61"/>
      <c r="R104" s="61"/>
      <c r="S104" s="59"/>
      <c r="T104" s="59"/>
      <c r="U104" s="59"/>
      <c r="V104" s="59"/>
      <c r="W104" s="59"/>
    </row>
    <row r="105">
      <c r="A105" s="77" t="s">
        <v>144</v>
      </c>
      <c r="B105" s="59"/>
      <c r="C105" s="60"/>
      <c r="D105" s="59"/>
      <c r="E105" s="60"/>
      <c r="F105" s="59"/>
      <c r="G105" s="60"/>
      <c r="H105" s="59"/>
      <c r="I105" s="60"/>
      <c r="J105" s="59"/>
      <c r="K105" s="60"/>
      <c r="L105" s="60"/>
      <c r="M105" s="59"/>
      <c r="N105" s="61"/>
      <c r="O105" s="61"/>
      <c r="P105" s="61"/>
      <c r="Q105" s="61"/>
      <c r="R105" s="61"/>
      <c r="S105" s="59"/>
      <c r="T105" s="59"/>
      <c r="U105" s="59"/>
      <c r="V105" s="59"/>
      <c r="W105" s="59"/>
    </row>
    <row r="106">
      <c r="A106" s="63" t="s">
        <v>145</v>
      </c>
      <c r="B106" s="59"/>
      <c r="C106" s="60"/>
      <c r="D106" s="59"/>
      <c r="E106" s="60"/>
      <c r="F106" s="59"/>
      <c r="G106" s="60"/>
      <c r="H106" s="59"/>
      <c r="I106" s="60"/>
      <c r="J106" s="59"/>
      <c r="K106" s="60"/>
      <c r="L106" s="60"/>
      <c r="M106" s="59"/>
      <c r="N106" s="61"/>
      <c r="O106" s="61"/>
      <c r="P106" s="61"/>
      <c r="Q106" s="61"/>
      <c r="R106" s="61"/>
      <c r="S106" s="59"/>
      <c r="T106" s="59"/>
      <c r="U106" s="59"/>
      <c r="V106" s="59"/>
      <c r="W106" s="59"/>
    </row>
    <row r="107">
      <c r="A107" s="59"/>
      <c r="B107" s="59"/>
      <c r="C107" s="60"/>
      <c r="D107" s="59"/>
      <c r="E107" s="60"/>
      <c r="F107" s="59"/>
      <c r="G107" s="60"/>
      <c r="H107" s="59"/>
      <c r="I107" s="60"/>
      <c r="J107" s="59"/>
      <c r="K107" s="60"/>
      <c r="L107" s="60"/>
      <c r="M107" s="59"/>
      <c r="N107" s="61"/>
      <c r="O107" s="61"/>
      <c r="P107" s="61"/>
      <c r="Q107" s="61"/>
      <c r="R107" s="61"/>
      <c r="S107" s="59"/>
      <c r="T107" s="59"/>
      <c r="U107" s="59"/>
      <c r="V107" s="59"/>
      <c r="W107" s="59"/>
    </row>
    <row r="108">
      <c r="A108" s="58" t="s">
        <v>146</v>
      </c>
      <c r="B108" s="59"/>
      <c r="C108" s="60"/>
      <c r="D108" s="59"/>
      <c r="E108" s="60"/>
      <c r="F108" s="59"/>
      <c r="G108" s="60"/>
      <c r="H108" s="59"/>
      <c r="I108" s="60"/>
      <c r="J108" s="59"/>
      <c r="K108" s="60"/>
      <c r="L108" s="60"/>
      <c r="M108" s="59"/>
      <c r="N108" s="61"/>
      <c r="O108" s="61"/>
      <c r="P108" s="61"/>
      <c r="Q108" s="61"/>
      <c r="R108" s="61"/>
      <c r="S108" s="59"/>
      <c r="T108" s="59"/>
      <c r="U108" s="59"/>
      <c r="V108" s="59"/>
      <c r="W108" s="59"/>
    </row>
    <row r="109">
      <c r="A109" s="63" t="s">
        <v>147</v>
      </c>
      <c r="B109" s="59"/>
      <c r="C109" s="60"/>
      <c r="D109" s="59"/>
      <c r="E109" s="60"/>
      <c r="F109" s="59"/>
      <c r="G109" s="60"/>
      <c r="H109" s="59"/>
      <c r="I109" s="60"/>
      <c r="J109" s="59"/>
      <c r="K109" s="60"/>
      <c r="L109" s="60"/>
      <c r="M109" s="59"/>
      <c r="N109" s="61"/>
      <c r="O109" s="61"/>
      <c r="P109" s="61"/>
      <c r="Q109" s="61"/>
      <c r="R109" s="61"/>
      <c r="S109" s="59"/>
      <c r="T109" s="59"/>
      <c r="U109" s="59"/>
      <c r="V109" s="59"/>
      <c r="W109" s="59"/>
    </row>
    <row r="110">
      <c r="B110" s="59"/>
      <c r="C110" s="60"/>
      <c r="D110" s="59"/>
      <c r="E110" s="60"/>
      <c r="F110" s="59"/>
      <c r="G110" s="60"/>
      <c r="H110" s="59"/>
      <c r="I110" s="60"/>
      <c r="J110" s="59"/>
      <c r="K110" s="60"/>
      <c r="L110" s="60"/>
      <c r="M110" s="59"/>
      <c r="N110" s="61"/>
      <c r="O110" s="61"/>
      <c r="P110" s="61"/>
      <c r="Q110" s="61"/>
      <c r="R110" s="61"/>
      <c r="S110" s="59"/>
      <c r="T110" s="59"/>
      <c r="U110" s="59"/>
      <c r="V110" s="59"/>
      <c r="W110" s="59"/>
    </row>
    <row r="111">
      <c r="B111" s="59"/>
      <c r="C111" s="60"/>
      <c r="D111" s="59"/>
      <c r="E111" s="60"/>
      <c r="F111" s="59"/>
      <c r="G111" s="60"/>
      <c r="H111" s="59"/>
      <c r="I111" s="60"/>
      <c r="J111" s="59"/>
      <c r="K111" s="60"/>
      <c r="L111" s="60"/>
      <c r="M111" s="59"/>
      <c r="N111" s="61"/>
      <c r="O111" s="61"/>
      <c r="P111" s="61"/>
      <c r="Q111" s="61"/>
      <c r="R111" s="61"/>
      <c r="S111" s="59"/>
      <c r="T111" s="59"/>
      <c r="U111" s="59"/>
      <c r="V111" s="59"/>
      <c r="W111" s="59"/>
    </row>
    <row r="112">
      <c r="A112" s="59"/>
      <c r="B112" s="59"/>
      <c r="C112" s="60"/>
      <c r="D112" s="59"/>
      <c r="E112" s="60"/>
      <c r="F112" s="59"/>
      <c r="G112" s="60"/>
      <c r="H112" s="59"/>
      <c r="I112" s="60"/>
      <c r="J112" s="59"/>
      <c r="K112" s="60"/>
      <c r="L112" s="60"/>
      <c r="M112" s="59"/>
      <c r="N112" s="61"/>
      <c r="O112" s="61"/>
      <c r="P112" s="61"/>
      <c r="Q112" s="61"/>
      <c r="R112" s="61"/>
      <c r="S112" s="59"/>
      <c r="T112" s="59"/>
      <c r="U112" s="59"/>
      <c r="V112" s="59"/>
      <c r="W112" s="59"/>
    </row>
    <row r="113">
      <c r="A113" s="59"/>
      <c r="B113" s="59"/>
      <c r="C113" s="60"/>
      <c r="D113" s="59"/>
      <c r="E113" s="60"/>
      <c r="F113" s="59"/>
      <c r="G113" s="60"/>
      <c r="H113" s="59"/>
      <c r="I113" s="60"/>
      <c r="J113" s="59"/>
      <c r="K113" s="60"/>
      <c r="L113" s="60"/>
      <c r="M113" s="59"/>
      <c r="N113" s="61"/>
      <c r="O113" s="61"/>
      <c r="P113" s="61"/>
      <c r="Q113" s="61"/>
      <c r="R113" s="61"/>
      <c r="S113" s="59"/>
      <c r="T113" s="59"/>
      <c r="U113" s="59"/>
      <c r="V113" s="59"/>
      <c r="W113" s="59"/>
    </row>
    <row r="114">
      <c r="A114" s="59"/>
      <c r="B114" s="59"/>
      <c r="C114" s="60"/>
      <c r="D114" s="59"/>
      <c r="E114" s="60"/>
      <c r="F114" s="59"/>
      <c r="G114" s="60"/>
      <c r="H114" s="59"/>
      <c r="I114" s="60"/>
      <c r="J114" s="59"/>
      <c r="K114" s="60"/>
      <c r="L114" s="60"/>
      <c r="M114" s="59"/>
      <c r="N114" s="61"/>
      <c r="O114" s="61"/>
      <c r="P114" s="61"/>
      <c r="Q114" s="61"/>
      <c r="R114" s="61"/>
      <c r="S114" s="59"/>
      <c r="T114" s="59"/>
      <c r="U114" s="59"/>
      <c r="V114" s="59"/>
      <c r="W114" s="59"/>
    </row>
    <row r="115">
      <c r="C115" s="35"/>
      <c r="E115" s="35"/>
      <c r="G115" s="35"/>
      <c r="I115" s="35"/>
      <c r="K115" s="35"/>
      <c r="L115" s="35"/>
      <c r="N115" s="41"/>
      <c r="O115" s="41"/>
      <c r="P115" s="41"/>
      <c r="Q115" s="41"/>
      <c r="R115" s="41"/>
    </row>
    <row r="116">
      <c r="C116" s="35"/>
      <c r="E116" s="35"/>
      <c r="G116" s="35"/>
      <c r="I116" s="35"/>
      <c r="K116" s="35"/>
      <c r="L116" s="35"/>
      <c r="N116" s="41"/>
      <c r="O116" s="41"/>
      <c r="P116" s="41"/>
      <c r="Q116" s="41"/>
      <c r="R116" s="41"/>
    </row>
    <row r="117">
      <c r="A117" s="27" t="s">
        <v>175</v>
      </c>
      <c r="B117" s="28">
        <v>10.0</v>
      </c>
      <c r="C117" s="29">
        <v>0.1</v>
      </c>
      <c r="D117" s="28">
        <v>6.0</v>
      </c>
      <c r="E117" s="29">
        <v>0.1</v>
      </c>
      <c r="F117" s="28">
        <v>1.0</v>
      </c>
      <c r="G117" s="29">
        <v>0.25</v>
      </c>
      <c r="H117" s="28">
        <v>3.0</v>
      </c>
      <c r="I117" s="29">
        <v>0.45</v>
      </c>
      <c r="J117" s="28">
        <v>13.0</v>
      </c>
      <c r="K117" s="29">
        <v>0.1</v>
      </c>
      <c r="L117" s="30">
        <v>0.0</v>
      </c>
      <c r="M117" s="31">
        <f>sum(C117+E117+G117+I117+K117+L117)</f>
        <v>1</v>
      </c>
      <c r="N117" s="32">
        <v>6.66</v>
      </c>
      <c r="O117" s="32">
        <v>8.67</v>
      </c>
      <c r="P117" s="32">
        <v>19.33</v>
      </c>
      <c r="Q117" s="32">
        <v>30.67</v>
      </c>
      <c r="R117" s="32">
        <v>34.67</v>
      </c>
      <c r="S117" s="34">
        <f t="shared" ref="S117:S119" si="10">SUM(N117:R117)</f>
        <v>100</v>
      </c>
      <c r="T117" s="35">
        <f t="shared" ref="T117:T119" si="11">N117*0.3+O117*0.65+P117*0.75+Q117*0.85+R117*0.95</f>
        <v>81.137</v>
      </c>
      <c r="U117" s="37"/>
    </row>
    <row r="118">
      <c r="A118" s="78" t="s">
        <v>176</v>
      </c>
      <c r="B118" s="28">
        <v>38.0</v>
      </c>
      <c r="C118" s="29">
        <v>0.1</v>
      </c>
      <c r="D118" s="28">
        <v>0.0</v>
      </c>
      <c r="E118" s="29">
        <v>0.0</v>
      </c>
      <c r="F118" s="28">
        <v>1.0</v>
      </c>
      <c r="G118" s="29">
        <v>0.25</v>
      </c>
      <c r="H118" s="28">
        <v>2.0</v>
      </c>
      <c r="I118" s="29">
        <v>0.36</v>
      </c>
      <c r="J118" s="28">
        <v>10.0</v>
      </c>
      <c r="K118" s="29">
        <v>0.24</v>
      </c>
      <c r="L118" s="30">
        <v>0.05</v>
      </c>
      <c r="M118" s="31">
        <f>SUM(L118,K118,I118,G118,E118,C118)</f>
        <v>1</v>
      </c>
      <c r="N118" s="32">
        <v>13.33</v>
      </c>
      <c r="O118" s="32">
        <v>15.0</v>
      </c>
      <c r="P118" s="32">
        <v>30.0</v>
      </c>
      <c r="Q118" s="32">
        <v>23.34</v>
      </c>
      <c r="R118" s="32">
        <v>18.33</v>
      </c>
      <c r="S118" s="34">
        <f t="shared" si="10"/>
        <v>100</v>
      </c>
      <c r="T118" s="35">
        <f t="shared" si="11"/>
        <v>73.5015</v>
      </c>
      <c r="U118" s="37"/>
    </row>
    <row r="119">
      <c r="A119" s="38" t="s">
        <v>177</v>
      </c>
      <c r="B119" s="28">
        <v>6.0</v>
      </c>
      <c r="C119" s="29">
        <v>0.15</v>
      </c>
      <c r="D119" s="28">
        <v>0.0</v>
      </c>
      <c r="E119" s="29">
        <v>0.0</v>
      </c>
      <c r="F119" s="28">
        <v>1.0</v>
      </c>
      <c r="G119" s="29">
        <v>0.35</v>
      </c>
      <c r="H119" s="28">
        <v>0.0</v>
      </c>
      <c r="I119" s="29">
        <v>0.0</v>
      </c>
      <c r="J119" s="28">
        <v>2.0</v>
      </c>
      <c r="K119" s="29">
        <v>0.5</v>
      </c>
      <c r="L119" s="30">
        <v>0.0</v>
      </c>
      <c r="M119" s="31">
        <f>sum(C119+E119+G119+I119+K119+L119)</f>
        <v>1</v>
      </c>
      <c r="N119" s="41">
        <f>1*100/(1+1+2+5)</f>
        <v>11.11111111</v>
      </c>
      <c r="O119" s="32">
        <v>0.0</v>
      </c>
      <c r="P119" s="42">
        <f>1*100/(1+1+2+5)</f>
        <v>11.11111111</v>
      </c>
      <c r="Q119" s="42">
        <f>2*100/(1+1+2+5)</f>
        <v>22.22222222</v>
      </c>
      <c r="R119" s="42">
        <f>5*100/(1+1+2+5)</f>
        <v>55.55555556</v>
      </c>
      <c r="S119" s="34">
        <f t="shared" si="10"/>
        <v>100</v>
      </c>
      <c r="T119" s="35">
        <f t="shared" si="11"/>
        <v>83.33333333</v>
      </c>
      <c r="U119" s="37"/>
    </row>
    <row r="120">
      <c r="C120" s="35"/>
      <c r="E120" s="35"/>
      <c r="G120" s="35"/>
      <c r="I120" s="35"/>
      <c r="K120" s="35"/>
      <c r="L120" s="35"/>
      <c r="N120" s="41"/>
      <c r="O120" s="41"/>
      <c r="P120" s="41"/>
      <c r="Q120" s="41"/>
      <c r="R120" s="41"/>
    </row>
    <row r="121">
      <c r="C121" s="35"/>
      <c r="E121" s="35"/>
      <c r="G121" s="35"/>
      <c r="I121" s="35"/>
      <c r="K121" s="35"/>
      <c r="L121" s="35"/>
      <c r="N121" s="41"/>
      <c r="O121" s="41"/>
      <c r="P121" s="41"/>
      <c r="Q121" s="41"/>
      <c r="R121" s="41"/>
    </row>
    <row r="122">
      <c r="C122" s="35"/>
      <c r="E122" s="35"/>
      <c r="G122" s="35"/>
      <c r="I122" s="35"/>
      <c r="K122" s="35"/>
      <c r="L122" s="35"/>
      <c r="N122" s="41"/>
      <c r="O122" s="41"/>
      <c r="P122" s="41"/>
      <c r="Q122" s="41"/>
      <c r="R122" s="41"/>
    </row>
    <row r="123">
      <c r="C123" s="35"/>
      <c r="E123" s="35"/>
      <c r="G123" s="35"/>
      <c r="I123" s="35"/>
      <c r="K123" s="35"/>
      <c r="L123" s="35"/>
      <c r="N123" s="41"/>
      <c r="O123" s="41"/>
      <c r="P123" s="41"/>
      <c r="Q123" s="41"/>
      <c r="R123" s="41"/>
    </row>
    <row r="124">
      <c r="C124" s="35"/>
      <c r="E124" s="35"/>
      <c r="G124" s="35"/>
      <c r="I124" s="35"/>
      <c r="K124" s="35"/>
      <c r="L124" s="35"/>
      <c r="N124" s="41"/>
      <c r="O124" s="41"/>
      <c r="P124" s="41"/>
      <c r="Q124" s="41"/>
      <c r="R124" s="41"/>
    </row>
    <row r="125">
      <c r="C125" s="35"/>
      <c r="E125" s="35"/>
      <c r="G125" s="35"/>
      <c r="I125" s="35"/>
      <c r="K125" s="35"/>
      <c r="L125" s="35"/>
      <c r="N125" s="41"/>
      <c r="O125" s="41"/>
      <c r="P125" s="41"/>
      <c r="Q125" s="41"/>
      <c r="R125" s="41"/>
    </row>
    <row r="126">
      <c r="C126" s="35"/>
      <c r="E126" s="35"/>
      <c r="G126" s="35"/>
      <c r="I126" s="35"/>
      <c r="K126" s="35"/>
      <c r="L126" s="35"/>
      <c r="N126" s="41"/>
      <c r="O126" s="41"/>
      <c r="P126" s="41"/>
      <c r="Q126" s="41"/>
      <c r="R126" s="41"/>
    </row>
    <row r="127">
      <c r="C127" s="35"/>
      <c r="E127" s="35"/>
      <c r="G127" s="35"/>
      <c r="I127" s="35"/>
      <c r="K127" s="35"/>
      <c r="L127" s="35"/>
      <c r="N127" s="41"/>
      <c r="O127" s="41"/>
      <c r="P127" s="41"/>
      <c r="Q127" s="41"/>
      <c r="R127" s="41"/>
    </row>
    <row r="128">
      <c r="C128" s="35"/>
      <c r="E128" s="35"/>
      <c r="G128" s="35"/>
      <c r="I128" s="35"/>
      <c r="K128" s="35"/>
      <c r="L128" s="35"/>
      <c r="N128" s="41"/>
      <c r="O128" s="41"/>
      <c r="P128" s="41"/>
      <c r="Q128" s="41"/>
      <c r="R128" s="41"/>
    </row>
    <row r="129">
      <c r="C129" s="35"/>
      <c r="E129" s="35"/>
      <c r="G129" s="35"/>
      <c r="I129" s="35"/>
      <c r="K129" s="35"/>
      <c r="L129" s="35"/>
      <c r="N129" s="41"/>
      <c r="O129" s="41"/>
      <c r="P129" s="41"/>
      <c r="Q129" s="41"/>
      <c r="R129" s="41"/>
    </row>
    <row r="130">
      <c r="C130" s="35"/>
      <c r="E130" s="35"/>
      <c r="G130" s="35"/>
      <c r="I130" s="35"/>
      <c r="K130" s="35"/>
      <c r="L130" s="35"/>
      <c r="N130" s="41"/>
      <c r="O130" s="41"/>
      <c r="P130" s="41"/>
      <c r="Q130" s="41"/>
      <c r="R130" s="41"/>
    </row>
    <row r="131">
      <c r="C131" s="35"/>
      <c r="E131" s="35"/>
      <c r="G131" s="35"/>
      <c r="I131" s="35"/>
      <c r="K131" s="35"/>
      <c r="L131" s="35"/>
      <c r="N131" s="41"/>
      <c r="O131" s="41"/>
      <c r="P131" s="41"/>
      <c r="Q131" s="41"/>
      <c r="R131" s="41"/>
    </row>
    <row r="132">
      <c r="C132" s="35"/>
      <c r="E132" s="35"/>
      <c r="G132" s="35"/>
      <c r="I132" s="35"/>
      <c r="K132" s="35"/>
      <c r="L132" s="35"/>
      <c r="N132" s="41"/>
      <c r="O132" s="41"/>
      <c r="P132" s="41"/>
      <c r="Q132" s="41"/>
      <c r="R132" s="41"/>
    </row>
    <row r="133">
      <c r="C133" s="35"/>
      <c r="E133" s="35"/>
      <c r="G133" s="35"/>
      <c r="I133" s="35"/>
      <c r="K133" s="35"/>
      <c r="L133" s="35"/>
      <c r="N133" s="41"/>
      <c r="O133" s="41"/>
      <c r="P133" s="41"/>
      <c r="Q133" s="41"/>
      <c r="R133" s="41"/>
    </row>
    <row r="134">
      <c r="C134" s="35"/>
      <c r="E134" s="35"/>
      <c r="G134" s="35"/>
      <c r="I134" s="35"/>
      <c r="K134" s="35"/>
      <c r="L134" s="35"/>
      <c r="N134" s="41"/>
      <c r="O134" s="41"/>
      <c r="P134" s="41"/>
      <c r="Q134" s="41"/>
      <c r="R134" s="41"/>
    </row>
    <row r="135">
      <c r="C135" s="35"/>
      <c r="E135" s="35"/>
      <c r="G135" s="35"/>
      <c r="I135" s="35"/>
      <c r="K135" s="35"/>
      <c r="L135" s="35"/>
      <c r="N135" s="41"/>
      <c r="O135" s="41"/>
      <c r="P135" s="41"/>
      <c r="Q135" s="41"/>
      <c r="R135" s="41"/>
    </row>
    <row r="136">
      <c r="C136" s="35"/>
      <c r="E136" s="35"/>
      <c r="G136" s="35"/>
      <c r="I136" s="35"/>
      <c r="K136" s="35"/>
      <c r="L136" s="35"/>
      <c r="N136" s="41"/>
      <c r="O136" s="41"/>
      <c r="P136" s="41"/>
      <c r="Q136" s="41"/>
      <c r="R136" s="41"/>
    </row>
    <row r="137">
      <c r="C137" s="35"/>
      <c r="E137" s="35"/>
      <c r="G137" s="35"/>
      <c r="I137" s="35"/>
      <c r="K137" s="35"/>
      <c r="L137" s="35"/>
      <c r="N137" s="41"/>
      <c r="O137" s="41"/>
      <c r="P137" s="41"/>
      <c r="Q137" s="41"/>
      <c r="R137" s="41"/>
    </row>
    <row r="138">
      <c r="C138" s="35"/>
      <c r="E138" s="35"/>
      <c r="G138" s="35"/>
      <c r="I138" s="35"/>
      <c r="K138" s="35"/>
      <c r="L138" s="35"/>
      <c r="N138" s="41"/>
      <c r="O138" s="41"/>
      <c r="P138" s="41"/>
      <c r="Q138" s="41"/>
      <c r="R138" s="41"/>
    </row>
    <row r="139">
      <c r="C139" s="35"/>
      <c r="E139" s="35"/>
      <c r="G139" s="35"/>
      <c r="I139" s="35"/>
      <c r="K139" s="35"/>
      <c r="L139" s="35"/>
      <c r="N139" s="41"/>
      <c r="O139" s="41"/>
      <c r="P139" s="41"/>
      <c r="Q139" s="41"/>
      <c r="R139" s="41"/>
    </row>
    <row r="140">
      <c r="C140" s="35"/>
      <c r="E140" s="35"/>
      <c r="G140" s="35"/>
      <c r="I140" s="35"/>
      <c r="K140" s="35"/>
      <c r="L140" s="35"/>
      <c r="N140" s="41"/>
      <c r="O140" s="41"/>
      <c r="P140" s="41"/>
      <c r="Q140" s="41"/>
      <c r="R140" s="41"/>
    </row>
    <row r="141">
      <c r="C141" s="35"/>
      <c r="E141" s="35"/>
      <c r="G141" s="35"/>
      <c r="I141" s="35"/>
      <c r="K141" s="35"/>
      <c r="L141" s="35"/>
      <c r="N141" s="41"/>
      <c r="O141" s="41"/>
      <c r="P141" s="41"/>
      <c r="Q141" s="41"/>
      <c r="R141" s="41"/>
    </row>
    <row r="142">
      <c r="C142" s="35"/>
      <c r="E142" s="35"/>
      <c r="G142" s="35"/>
      <c r="I142" s="35"/>
      <c r="K142" s="35"/>
      <c r="L142" s="35"/>
      <c r="N142" s="41"/>
      <c r="O142" s="41"/>
      <c r="P142" s="41"/>
      <c r="Q142" s="41"/>
      <c r="R142" s="41"/>
    </row>
    <row r="143">
      <c r="C143" s="35"/>
      <c r="E143" s="35"/>
      <c r="G143" s="35"/>
      <c r="I143" s="35"/>
      <c r="K143" s="35"/>
      <c r="L143" s="35"/>
      <c r="N143" s="41"/>
      <c r="O143" s="41"/>
      <c r="P143" s="41"/>
      <c r="Q143" s="41"/>
      <c r="R143" s="41"/>
    </row>
    <row r="144">
      <c r="C144" s="35"/>
      <c r="E144" s="35"/>
      <c r="G144" s="35"/>
      <c r="I144" s="35"/>
      <c r="K144" s="35"/>
      <c r="L144" s="35"/>
      <c r="N144" s="41"/>
      <c r="O144" s="41"/>
      <c r="P144" s="41"/>
      <c r="Q144" s="41"/>
      <c r="R144" s="41"/>
    </row>
    <row r="145">
      <c r="C145" s="35"/>
      <c r="E145" s="35"/>
      <c r="G145" s="35"/>
      <c r="I145" s="35"/>
      <c r="K145" s="35"/>
      <c r="L145" s="35"/>
      <c r="N145" s="41"/>
      <c r="O145" s="41"/>
      <c r="P145" s="41"/>
      <c r="Q145" s="41"/>
      <c r="R145" s="41"/>
    </row>
    <row r="146">
      <c r="C146" s="35"/>
      <c r="E146" s="35"/>
      <c r="G146" s="35"/>
      <c r="I146" s="35"/>
      <c r="K146" s="35"/>
      <c r="L146" s="35"/>
      <c r="N146" s="41"/>
      <c r="O146" s="41"/>
      <c r="P146" s="41"/>
      <c r="Q146" s="41"/>
      <c r="R146" s="41"/>
    </row>
    <row r="147">
      <c r="C147" s="35"/>
      <c r="E147" s="35"/>
      <c r="G147" s="35"/>
      <c r="I147" s="35"/>
      <c r="K147" s="35"/>
      <c r="L147" s="35"/>
      <c r="N147" s="41"/>
      <c r="O147" s="41"/>
      <c r="P147" s="41"/>
      <c r="Q147" s="41"/>
      <c r="R147" s="41"/>
    </row>
    <row r="148">
      <c r="C148" s="35"/>
      <c r="E148" s="35"/>
      <c r="G148" s="35"/>
      <c r="I148" s="35"/>
      <c r="K148" s="35"/>
      <c r="L148" s="35"/>
      <c r="N148" s="41"/>
      <c r="O148" s="41"/>
      <c r="P148" s="41"/>
      <c r="Q148" s="41"/>
      <c r="R148" s="41"/>
    </row>
    <row r="149">
      <c r="C149" s="35"/>
      <c r="E149" s="35"/>
      <c r="G149" s="35"/>
      <c r="I149" s="35"/>
      <c r="K149" s="35"/>
      <c r="L149" s="35"/>
      <c r="N149" s="41"/>
      <c r="O149" s="41"/>
      <c r="P149" s="41"/>
      <c r="Q149" s="41"/>
      <c r="R149" s="41"/>
    </row>
    <row r="150">
      <c r="C150" s="35"/>
      <c r="E150" s="35"/>
      <c r="G150" s="35"/>
      <c r="I150" s="35"/>
      <c r="K150" s="35"/>
      <c r="L150" s="35"/>
      <c r="N150" s="41"/>
      <c r="O150" s="41"/>
      <c r="P150" s="41"/>
      <c r="Q150" s="41"/>
      <c r="R150" s="41"/>
    </row>
    <row r="151">
      <c r="C151" s="35"/>
      <c r="E151" s="35"/>
      <c r="G151" s="35"/>
      <c r="I151" s="35"/>
      <c r="K151" s="35"/>
      <c r="L151" s="35"/>
      <c r="N151" s="41"/>
      <c r="O151" s="41"/>
      <c r="P151" s="41"/>
      <c r="Q151" s="41"/>
      <c r="R151" s="41"/>
    </row>
    <row r="152">
      <c r="C152" s="35"/>
      <c r="E152" s="35"/>
      <c r="G152" s="35"/>
      <c r="I152" s="35"/>
      <c r="K152" s="35"/>
      <c r="L152" s="35"/>
      <c r="N152" s="41"/>
      <c r="O152" s="41"/>
      <c r="P152" s="41"/>
      <c r="Q152" s="41"/>
      <c r="R152" s="41"/>
    </row>
    <row r="153">
      <c r="C153" s="35"/>
      <c r="E153" s="35"/>
      <c r="G153" s="35"/>
      <c r="I153" s="35"/>
      <c r="K153" s="35"/>
      <c r="L153" s="35"/>
      <c r="N153" s="41"/>
      <c r="O153" s="41"/>
      <c r="P153" s="41"/>
      <c r="Q153" s="41"/>
      <c r="R153" s="41"/>
    </row>
    <row r="154">
      <c r="C154" s="35"/>
      <c r="E154" s="35"/>
      <c r="G154" s="35"/>
      <c r="I154" s="35"/>
      <c r="K154" s="35"/>
      <c r="L154" s="35"/>
      <c r="N154" s="41"/>
      <c r="O154" s="41"/>
      <c r="P154" s="41"/>
      <c r="Q154" s="41"/>
      <c r="R154" s="41"/>
    </row>
    <row r="155">
      <c r="C155" s="35"/>
      <c r="E155" s="35"/>
      <c r="G155" s="35"/>
      <c r="I155" s="35"/>
      <c r="K155" s="35"/>
      <c r="L155" s="35"/>
      <c r="N155" s="41"/>
      <c r="O155" s="41"/>
      <c r="P155" s="41"/>
      <c r="Q155" s="41"/>
      <c r="R155" s="41"/>
    </row>
    <row r="156">
      <c r="C156" s="35"/>
      <c r="E156" s="35"/>
      <c r="G156" s="35"/>
      <c r="I156" s="35"/>
      <c r="K156" s="35"/>
      <c r="L156" s="35"/>
      <c r="N156" s="41"/>
      <c r="O156" s="41"/>
      <c r="P156" s="41"/>
      <c r="Q156" s="41"/>
      <c r="R156" s="41"/>
    </row>
    <row r="157">
      <c r="C157" s="35"/>
      <c r="E157" s="35"/>
      <c r="G157" s="35"/>
      <c r="I157" s="35"/>
      <c r="K157" s="35"/>
      <c r="L157" s="35"/>
      <c r="N157" s="41"/>
      <c r="O157" s="41"/>
      <c r="P157" s="41"/>
      <c r="Q157" s="41"/>
      <c r="R157" s="41"/>
    </row>
    <row r="158">
      <c r="C158" s="35"/>
      <c r="E158" s="35"/>
      <c r="G158" s="35"/>
      <c r="I158" s="35"/>
      <c r="K158" s="35"/>
      <c r="L158" s="35"/>
      <c r="N158" s="41"/>
      <c r="O158" s="41"/>
      <c r="P158" s="41"/>
      <c r="Q158" s="41"/>
      <c r="R158" s="41"/>
    </row>
    <row r="159">
      <c r="C159" s="35"/>
      <c r="E159" s="35"/>
      <c r="G159" s="35"/>
      <c r="I159" s="35"/>
      <c r="K159" s="35"/>
      <c r="L159" s="35"/>
      <c r="N159" s="41"/>
      <c r="O159" s="41"/>
      <c r="P159" s="41"/>
      <c r="Q159" s="41"/>
      <c r="R159" s="41"/>
    </row>
    <row r="160">
      <c r="C160" s="35"/>
      <c r="E160" s="35"/>
      <c r="G160" s="35"/>
      <c r="I160" s="35"/>
      <c r="K160" s="35"/>
      <c r="L160" s="35"/>
      <c r="N160" s="41"/>
      <c r="O160" s="41"/>
      <c r="P160" s="41"/>
      <c r="Q160" s="41"/>
      <c r="R160" s="41"/>
    </row>
    <row r="161">
      <c r="C161" s="35"/>
      <c r="E161" s="35"/>
      <c r="G161" s="35"/>
      <c r="I161" s="35"/>
      <c r="K161" s="35"/>
      <c r="L161" s="35"/>
      <c r="N161" s="41"/>
      <c r="O161" s="41"/>
      <c r="P161" s="41"/>
      <c r="Q161" s="41"/>
      <c r="R161" s="41"/>
    </row>
    <row r="162">
      <c r="C162" s="35"/>
      <c r="E162" s="35"/>
      <c r="G162" s="35"/>
      <c r="I162" s="35"/>
      <c r="K162" s="35"/>
      <c r="L162" s="35"/>
      <c r="N162" s="41"/>
      <c r="O162" s="41"/>
      <c r="P162" s="41"/>
      <c r="Q162" s="41"/>
      <c r="R162" s="41"/>
    </row>
    <row r="163">
      <c r="C163" s="35"/>
      <c r="E163" s="35"/>
      <c r="G163" s="35"/>
      <c r="I163" s="35"/>
      <c r="K163" s="35"/>
      <c r="L163" s="35"/>
      <c r="N163" s="41"/>
      <c r="O163" s="41"/>
      <c r="P163" s="41"/>
      <c r="Q163" s="41"/>
      <c r="R163" s="41"/>
    </row>
    <row r="164">
      <c r="C164" s="35"/>
      <c r="E164" s="35"/>
      <c r="G164" s="35"/>
      <c r="I164" s="35"/>
      <c r="K164" s="35"/>
      <c r="L164" s="35"/>
      <c r="N164" s="41"/>
      <c r="O164" s="41"/>
      <c r="P164" s="41"/>
      <c r="Q164" s="41"/>
      <c r="R164" s="41"/>
    </row>
    <row r="165">
      <c r="C165" s="35"/>
      <c r="E165" s="35"/>
      <c r="G165" s="35"/>
      <c r="I165" s="35"/>
      <c r="K165" s="35"/>
      <c r="L165" s="35"/>
      <c r="N165" s="41"/>
      <c r="O165" s="41"/>
      <c r="P165" s="41"/>
      <c r="Q165" s="41"/>
      <c r="R165" s="41"/>
    </row>
    <row r="166">
      <c r="C166" s="35"/>
      <c r="E166" s="35"/>
      <c r="G166" s="35"/>
      <c r="I166" s="35"/>
      <c r="K166" s="35"/>
      <c r="L166" s="35"/>
      <c r="N166" s="41"/>
      <c r="O166" s="41"/>
      <c r="P166" s="41"/>
      <c r="Q166" s="41"/>
      <c r="R166" s="41"/>
    </row>
    <row r="167">
      <c r="C167" s="35"/>
      <c r="E167" s="35"/>
      <c r="G167" s="35"/>
      <c r="I167" s="35"/>
      <c r="K167" s="35"/>
      <c r="L167" s="35"/>
      <c r="N167" s="41"/>
      <c r="O167" s="41"/>
      <c r="P167" s="41"/>
      <c r="Q167" s="41"/>
      <c r="R167" s="41"/>
    </row>
    <row r="168">
      <c r="C168" s="35"/>
      <c r="E168" s="35"/>
      <c r="G168" s="35"/>
      <c r="I168" s="35"/>
      <c r="K168" s="35"/>
      <c r="L168" s="35"/>
      <c r="N168" s="41"/>
      <c r="O168" s="41"/>
      <c r="P168" s="41"/>
      <c r="Q168" s="41"/>
      <c r="R168" s="41"/>
    </row>
    <row r="169">
      <c r="C169" s="35"/>
      <c r="E169" s="35"/>
      <c r="G169" s="35"/>
      <c r="I169" s="35"/>
      <c r="K169" s="35"/>
      <c r="L169" s="35"/>
      <c r="N169" s="41"/>
      <c r="O169" s="41"/>
      <c r="P169" s="41"/>
      <c r="Q169" s="41"/>
      <c r="R169" s="41"/>
    </row>
    <row r="170">
      <c r="C170" s="35"/>
      <c r="E170" s="35"/>
      <c r="G170" s="35"/>
      <c r="I170" s="35"/>
      <c r="K170" s="35"/>
      <c r="L170" s="35"/>
      <c r="N170" s="41"/>
      <c r="O170" s="41"/>
      <c r="P170" s="41"/>
      <c r="Q170" s="41"/>
      <c r="R170" s="41"/>
    </row>
    <row r="171">
      <c r="C171" s="35"/>
      <c r="E171" s="35"/>
      <c r="G171" s="35"/>
      <c r="I171" s="35"/>
      <c r="K171" s="35"/>
      <c r="L171" s="35"/>
      <c r="N171" s="41"/>
      <c r="O171" s="41"/>
      <c r="P171" s="41"/>
      <c r="Q171" s="41"/>
      <c r="R171" s="41"/>
    </row>
    <row r="172">
      <c r="C172" s="35"/>
      <c r="E172" s="35"/>
      <c r="G172" s="35"/>
      <c r="I172" s="35"/>
      <c r="K172" s="35"/>
      <c r="L172" s="35"/>
      <c r="N172" s="41"/>
      <c r="O172" s="41"/>
      <c r="P172" s="41"/>
      <c r="Q172" s="41"/>
      <c r="R172" s="41"/>
    </row>
    <row r="173">
      <c r="C173" s="35"/>
      <c r="E173" s="35"/>
      <c r="G173" s="35"/>
      <c r="I173" s="35"/>
      <c r="K173" s="35"/>
      <c r="L173" s="35"/>
      <c r="N173" s="41"/>
      <c r="O173" s="41"/>
      <c r="P173" s="41"/>
      <c r="Q173" s="41"/>
      <c r="R173" s="41"/>
    </row>
    <row r="174">
      <c r="C174" s="35"/>
      <c r="E174" s="35"/>
      <c r="G174" s="35"/>
      <c r="I174" s="35"/>
      <c r="K174" s="35"/>
      <c r="L174" s="35"/>
      <c r="N174" s="41"/>
      <c r="O174" s="41"/>
      <c r="P174" s="41"/>
      <c r="Q174" s="41"/>
      <c r="R174" s="41"/>
    </row>
    <row r="175">
      <c r="C175" s="35"/>
      <c r="E175" s="35"/>
      <c r="G175" s="35"/>
      <c r="I175" s="35"/>
      <c r="K175" s="35"/>
      <c r="L175" s="35"/>
      <c r="N175" s="41"/>
      <c r="O175" s="41"/>
      <c r="P175" s="41"/>
      <c r="Q175" s="41"/>
      <c r="R175" s="41"/>
    </row>
    <row r="176">
      <c r="C176" s="35"/>
      <c r="E176" s="35"/>
      <c r="G176" s="35"/>
      <c r="I176" s="35"/>
      <c r="K176" s="35"/>
      <c r="L176" s="35"/>
      <c r="N176" s="41"/>
      <c r="O176" s="41"/>
      <c r="P176" s="41"/>
      <c r="Q176" s="41"/>
      <c r="R176" s="41"/>
    </row>
    <row r="177">
      <c r="C177" s="35"/>
      <c r="E177" s="35"/>
      <c r="G177" s="35"/>
      <c r="I177" s="35"/>
      <c r="K177" s="35"/>
      <c r="L177" s="35"/>
      <c r="N177" s="41"/>
      <c r="O177" s="41"/>
      <c r="P177" s="41"/>
      <c r="Q177" s="41"/>
      <c r="R177" s="41"/>
    </row>
    <row r="178">
      <c r="C178" s="35"/>
      <c r="E178" s="35"/>
      <c r="G178" s="35"/>
      <c r="I178" s="35"/>
      <c r="K178" s="35"/>
      <c r="L178" s="35"/>
      <c r="N178" s="41"/>
      <c r="O178" s="41"/>
      <c r="P178" s="41"/>
      <c r="Q178" s="41"/>
      <c r="R178" s="41"/>
    </row>
    <row r="179">
      <c r="C179" s="35"/>
      <c r="E179" s="35"/>
      <c r="G179" s="35"/>
      <c r="I179" s="35"/>
      <c r="K179" s="35"/>
      <c r="L179" s="35"/>
      <c r="N179" s="41"/>
      <c r="O179" s="41"/>
      <c r="P179" s="41"/>
      <c r="Q179" s="41"/>
      <c r="R179" s="41"/>
    </row>
    <row r="180">
      <c r="C180" s="35"/>
      <c r="E180" s="35"/>
      <c r="G180" s="35"/>
      <c r="I180" s="35"/>
      <c r="K180" s="35"/>
      <c r="L180" s="35"/>
      <c r="N180" s="41"/>
      <c r="O180" s="41"/>
      <c r="P180" s="41"/>
      <c r="Q180" s="41"/>
      <c r="R180" s="41"/>
    </row>
    <row r="181">
      <c r="C181" s="35"/>
      <c r="E181" s="35"/>
      <c r="G181" s="35"/>
      <c r="I181" s="35"/>
      <c r="K181" s="35"/>
      <c r="L181" s="35"/>
      <c r="N181" s="41"/>
      <c r="O181" s="41"/>
      <c r="P181" s="41"/>
      <c r="Q181" s="41"/>
      <c r="R181" s="41"/>
    </row>
    <row r="182">
      <c r="C182" s="35"/>
      <c r="E182" s="35"/>
      <c r="G182" s="35"/>
      <c r="I182" s="35"/>
      <c r="K182" s="35"/>
      <c r="L182" s="35"/>
      <c r="N182" s="41"/>
      <c r="O182" s="41"/>
      <c r="P182" s="41"/>
      <c r="Q182" s="41"/>
      <c r="R182" s="41"/>
    </row>
    <row r="183">
      <c r="C183" s="35"/>
      <c r="E183" s="35"/>
      <c r="G183" s="35"/>
      <c r="I183" s="35"/>
      <c r="K183" s="35"/>
      <c r="L183" s="35"/>
      <c r="N183" s="41"/>
      <c r="O183" s="41"/>
      <c r="P183" s="41"/>
      <c r="Q183" s="41"/>
      <c r="R183" s="41"/>
    </row>
    <row r="184">
      <c r="C184" s="35"/>
      <c r="E184" s="35"/>
      <c r="G184" s="35"/>
      <c r="I184" s="35"/>
      <c r="K184" s="35"/>
      <c r="L184" s="35"/>
      <c r="N184" s="41"/>
      <c r="O184" s="41"/>
      <c r="P184" s="41"/>
      <c r="Q184" s="41"/>
      <c r="R184" s="41"/>
    </row>
    <row r="185">
      <c r="C185" s="35"/>
      <c r="E185" s="35"/>
      <c r="G185" s="35"/>
      <c r="I185" s="35"/>
      <c r="K185" s="35"/>
      <c r="L185" s="35"/>
      <c r="N185" s="41"/>
      <c r="O185" s="41"/>
      <c r="P185" s="41"/>
      <c r="Q185" s="41"/>
      <c r="R185" s="41"/>
    </row>
    <row r="186">
      <c r="C186" s="35"/>
      <c r="E186" s="35"/>
      <c r="G186" s="35"/>
      <c r="I186" s="35"/>
      <c r="K186" s="35"/>
      <c r="L186" s="35"/>
      <c r="N186" s="41"/>
      <c r="O186" s="41"/>
      <c r="P186" s="41"/>
      <c r="Q186" s="41"/>
      <c r="R186" s="41"/>
    </row>
    <row r="187">
      <c r="C187" s="35"/>
      <c r="E187" s="35"/>
      <c r="G187" s="35"/>
      <c r="I187" s="35"/>
      <c r="K187" s="35"/>
      <c r="L187" s="35"/>
      <c r="N187" s="41"/>
      <c r="O187" s="41"/>
      <c r="P187" s="41"/>
      <c r="Q187" s="41"/>
      <c r="R187" s="41"/>
    </row>
    <row r="188">
      <c r="C188" s="35"/>
      <c r="E188" s="35"/>
      <c r="G188" s="35"/>
      <c r="I188" s="35"/>
      <c r="K188" s="35"/>
      <c r="L188" s="35"/>
      <c r="N188" s="41"/>
      <c r="O188" s="41"/>
      <c r="P188" s="41"/>
      <c r="Q188" s="41"/>
      <c r="R188" s="41"/>
    </row>
    <row r="189">
      <c r="C189" s="35"/>
      <c r="E189" s="35"/>
      <c r="G189" s="35"/>
      <c r="I189" s="35"/>
      <c r="K189" s="35"/>
      <c r="L189" s="35"/>
      <c r="N189" s="41"/>
      <c r="O189" s="41"/>
      <c r="P189" s="41"/>
      <c r="Q189" s="41"/>
      <c r="R189" s="41"/>
    </row>
    <row r="190">
      <c r="C190" s="35"/>
      <c r="E190" s="35"/>
      <c r="G190" s="35"/>
      <c r="I190" s="35"/>
      <c r="K190" s="35"/>
      <c r="L190" s="35"/>
      <c r="N190" s="41"/>
      <c r="O190" s="41"/>
      <c r="P190" s="41"/>
      <c r="Q190" s="41"/>
      <c r="R190" s="41"/>
    </row>
    <row r="191">
      <c r="C191" s="35"/>
      <c r="E191" s="35"/>
      <c r="G191" s="35"/>
      <c r="I191" s="35"/>
      <c r="K191" s="35"/>
      <c r="L191" s="35"/>
      <c r="N191" s="41"/>
      <c r="O191" s="41"/>
      <c r="P191" s="41"/>
      <c r="Q191" s="41"/>
      <c r="R191" s="41"/>
    </row>
    <row r="192">
      <c r="C192" s="35"/>
      <c r="E192" s="35"/>
      <c r="G192" s="35"/>
      <c r="I192" s="35"/>
      <c r="K192" s="35"/>
      <c r="L192" s="35"/>
      <c r="N192" s="41"/>
      <c r="O192" s="41"/>
      <c r="P192" s="41"/>
      <c r="Q192" s="41"/>
      <c r="R192" s="41"/>
    </row>
    <row r="193">
      <c r="C193" s="35"/>
      <c r="E193" s="35"/>
      <c r="G193" s="35"/>
      <c r="I193" s="35"/>
      <c r="K193" s="35"/>
      <c r="L193" s="35"/>
      <c r="N193" s="41"/>
      <c r="O193" s="41"/>
      <c r="P193" s="41"/>
      <c r="Q193" s="41"/>
      <c r="R193" s="41"/>
    </row>
    <row r="194">
      <c r="C194" s="35"/>
      <c r="E194" s="35"/>
      <c r="G194" s="35"/>
      <c r="I194" s="35"/>
      <c r="K194" s="35"/>
      <c r="L194" s="35"/>
      <c r="N194" s="41"/>
      <c r="O194" s="41"/>
      <c r="P194" s="41"/>
      <c r="Q194" s="41"/>
      <c r="R194" s="41"/>
    </row>
    <row r="195">
      <c r="C195" s="35"/>
      <c r="E195" s="35"/>
      <c r="G195" s="35"/>
      <c r="I195" s="35"/>
      <c r="K195" s="35"/>
      <c r="L195" s="35"/>
      <c r="N195" s="41"/>
      <c r="O195" s="41"/>
      <c r="P195" s="41"/>
      <c r="Q195" s="41"/>
      <c r="R195" s="41"/>
    </row>
    <row r="196">
      <c r="C196" s="35"/>
      <c r="E196" s="35"/>
      <c r="G196" s="35"/>
      <c r="I196" s="35"/>
      <c r="K196" s="35"/>
      <c r="L196" s="35"/>
      <c r="N196" s="41"/>
      <c r="O196" s="41"/>
      <c r="P196" s="41"/>
      <c r="Q196" s="41"/>
      <c r="R196" s="41"/>
    </row>
    <row r="197">
      <c r="C197" s="35"/>
      <c r="E197" s="35"/>
      <c r="G197" s="35"/>
      <c r="I197" s="35"/>
      <c r="K197" s="35"/>
      <c r="L197" s="35"/>
      <c r="N197" s="41"/>
      <c r="O197" s="41"/>
      <c r="P197" s="41"/>
      <c r="Q197" s="41"/>
      <c r="R197" s="41"/>
    </row>
    <row r="198">
      <c r="C198" s="35"/>
      <c r="E198" s="35"/>
      <c r="G198" s="35"/>
      <c r="I198" s="35"/>
      <c r="K198" s="35"/>
      <c r="L198" s="35"/>
      <c r="N198" s="41"/>
      <c r="O198" s="41"/>
      <c r="P198" s="41"/>
      <c r="Q198" s="41"/>
      <c r="R198" s="41"/>
    </row>
    <row r="199">
      <c r="C199" s="35"/>
      <c r="E199" s="35"/>
      <c r="G199" s="35"/>
      <c r="I199" s="35"/>
      <c r="K199" s="35"/>
      <c r="L199" s="35"/>
      <c r="N199" s="41"/>
      <c r="O199" s="41"/>
      <c r="P199" s="41"/>
      <c r="Q199" s="41"/>
      <c r="R199" s="41"/>
    </row>
    <row r="200">
      <c r="C200" s="35"/>
      <c r="E200" s="35"/>
      <c r="G200" s="35"/>
      <c r="I200" s="35"/>
      <c r="K200" s="35"/>
      <c r="L200" s="35"/>
      <c r="N200" s="41"/>
      <c r="O200" s="41"/>
      <c r="P200" s="41"/>
      <c r="Q200" s="41"/>
      <c r="R200" s="41"/>
    </row>
    <row r="201">
      <c r="C201" s="35"/>
      <c r="E201" s="35"/>
      <c r="G201" s="35"/>
      <c r="I201" s="35"/>
      <c r="K201" s="35"/>
      <c r="L201" s="35"/>
      <c r="N201" s="41"/>
      <c r="O201" s="41"/>
      <c r="P201" s="41"/>
      <c r="Q201" s="41"/>
      <c r="R201" s="41"/>
    </row>
    <row r="202">
      <c r="C202" s="35"/>
      <c r="E202" s="35"/>
      <c r="G202" s="35"/>
      <c r="I202" s="35"/>
      <c r="K202" s="35"/>
      <c r="L202" s="35"/>
      <c r="N202" s="41"/>
      <c r="O202" s="41"/>
      <c r="P202" s="41"/>
      <c r="Q202" s="41"/>
      <c r="R202" s="41"/>
    </row>
    <row r="203">
      <c r="C203" s="35"/>
      <c r="E203" s="35"/>
      <c r="G203" s="35"/>
      <c r="I203" s="35"/>
      <c r="K203" s="35"/>
      <c r="L203" s="35"/>
      <c r="N203" s="41"/>
      <c r="O203" s="41"/>
      <c r="P203" s="41"/>
      <c r="Q203" s="41"/>
      <c r="R203" s="41"/>
    </row>
    <row r="204">
      <c r="C204" s="35"/>
      <c r="E204" s="35"/>
      <c r="G204" s="35"/>
      <c r="I204" s="35"/>
      <c r="K204" s="35"/>
      <c r="L204" s="35"/>
      <c r="N204" s="41"/>
      <c r="O204" s="41"/>
      <c r="P204" s="41"/>
      <c r="Q204" s="41"/>
      <c r="R204" s="41"/>
    </row>
    <row r="205">
      <c r="C205" s="35"/>
      <c r="E205" s="35"/>
      <c r="G205" s="35"/>
      <c r="I205" s="35"/>
      <c r="K205" s="35"/>
      <c r="L205" s="35"/>
      <c r="N205" s="41"/>
      <c r="O205" s="41"/>
      <c r="P205" s="41"/>
      <c r="Q205" s="41"/>
      <c r="R205" s="41"/>
    </row>
    <row r="206">
      <c r="C206" s="35"/>
      <c r="E206" s="35"/>
      <c r="G206" s="35"/>
      <c r="I206" s="35"/>
      <c r="K206" s="35"/>
      <c r="L206" s="35"/>
      <c r="N206" s="41"/>
      <c r="O206" s="41"/>
      <c r="P206" s="41"/>
      <c r="Q206" s="41"/>
      <c r="R206" s="41"/>
    </row>
    <row r="207">
      <c r="C207" s="35"/>
      <c r="E207" s="35"/>
      <c r="G207" s="35"/>
      <c r="I207" s="35"/>
      <c r="K207" s="35"/>
      <c r="L207" s="35"/>
      <c r="N207" s="41"/>
      <c r="O207" s="41"/>
      <c r="P207" s="41"/>
      <c r="Q207" s="41"/>
      <c r="R207" s="41"/>
    </row>
    <row r="208">
      <c r="C208" s="35"/>
      <c r="E208" s="35"/>
      <c r="G208" s="35"/>
      <c r="I208" s="35"/>
      <c r="K208" s="35"/>
      <c r="L208" s="35"/>
      <c r="N208" s="41"/>
      <c r="O208" s="41"/>
      <c r="P208" s="41"/>
      <c r="Q208" s="41"/>
      <c r="R208" s="41"/>
    </row>
    <row r="209">
      <c r="C209" s="35"/>
      <c r="E209" s="35"/>
      <c r="G209" s="35"/>
      <c r="I209" s="35"/>
      <c r="K209" s="35"/>
      <c r="L209" s="35"/>
      <c r="N209" s="41"/>
      <c r="O209" s="41"/>
      <c r="P209" s="41"/>
      <c r="Q209" s="41"/>
      <c r="R209" s="41"/>
    </row>
    <row r="210">
      <c r="C210" s="35"/>
      <c r="E210" s="35"/>
      <c r="G210" s="35"/>
      <c r="I210" s="35"/>
      <c r="K210" s="35"/>
      <c r="L210" s="35"/>
      <c r="N210" s="41"/>
      <c r="O210" s="41"/>
      <c r="P210" s="41"/>
      <c r="Q210" s="41"/>
      <c r="R210" s="41"/>
    </row>
    <row r="211">
      <c r="C211" s="35"/>
      <c r="E211" s="35"/>
      <c r="G211" s="35"/>
      <c r="I211" s="35"/>
      <c r="K211" s="35"/>
      <c r="L211" s="35"/>
      <c r="N211" s="41"/>
      <c r="O211" s="41"/>
      <c r="P211" s="41"/>
      <c r="Q211" s="41"/>
      <c r="R211" s="41"/>
    </row>
    <row r="212">
      <c r="C212" s="35"/>
      <c r="E212" s="35"/>
      <c r="G212" s="35"/>
      <c r="I212" s="35"/>
      <c r="K212" s="35"/>
      <c r="L212" s="35"/>
      <c r="N212" s="41"/>
      <c r="O212" s="41"/>
      <c r="P212" s="41"/>
      <c r="Q212" s="41"/>
      <c r="R212" s="41"/>
    </row>
    <row r="213">
      <c r="C213" s="35"/>
      <c r="E213" s="35"/>
      <c r="G213" s="35"/>
      <c r="I213" s="35"/>
      <c r="K213" s="35"/>
      <c r="L213" s="35"/>
      <c r="N213" s="41"/>
      <c r="O213" s="41"/>
      <c r="P213" s="41"/>
      <c r="Q213" s="41"/>
      <c r="R213" s="41"/>
    </row>
    <row r="214">
      <c r="C214" s="35"/>
      <c r="E214" s="35"/>
      <c r="G214" s="35"/>
      <c r="I214" s="35"/>
      <c r="K214" s="35"/>
      <c r="L214" s="35"/>
      <c r="N214" s="41"/>
      <c r="O214" s="41"/>
      <c r="P214" s="41"/>
      <c r="Q214" s="41"/>
      <c r="R214" s="41"/>
    </row>
    <row r="215">
      <c r="C215" s="35"/>
      <c r="E215" s="35"/>
      <c r="G215" s="35"/>
      <c r="I215" s="35"/>
      <c r="K215" s="35"/>
      <c r="L215" s="35"/>
      <c r="N215" s="41"/>
      <c r="O215" s="41"/>
      <c r="P215" s="41"/>
      <c r="Q215" s="41"/>
      <c r="R215" s="41"/>
    </row>
    <row r="216">
      <c r="C216" s="35"/>
      <c r="E216" s="35"/>
      <c r="G216" s="35"/>
      <c r="I216" s="35"/>
      <c r="K216" s="35"/>
      <c r="L216" s="35"/>
      <c r="N216" s="41"/>
      <c r="O216" s="41"/>
      <c r="P216" s="41"/>
      <c r="Q216" s="41"/>
      <c r="R216" s="41"/>
    </row>
    <row r="217">
      <c r="C217" s="35"/>
      <c r="E217" s="35"/>
      <c r="G217" s="35"/>
      <c r="I217" s="35"/>
      <c r="K217" s="35"/>
      <c r="L217" s="35"/>
      <c r="N217" s="41"/>
      <c r="O217" s="41"/>
      <c r="P217" s="41"/>
      <c r="Q217" s="41"/>
      <c r="R217" s="41"/>
    </row>
    <row r="218">
      <c r="C218" s="35"/>
      <c r="E218" s="35"/>
      <c r="G218" s="35"/>
      <c r="I218" s="35"/>
      <c r="K218" s="35"/>
      <c r="L218" s="35"/>
      <c r="N218" s="41"/>
      <c r="O218" s="41"/>
      <c r="P218" s="41"/>
      <c r="Q218" s="41"/>
      <c r="R218" s="41"/>
    </row>
    <row r="219">
      <c r="C219" s="35"/>
      <c r="E219" s="35"/>
      <c r="G219" s="35"/>
      <c r="I219" s="35"/>
      <c r="K219" s="35"/>
      <c r="L219" s="35"/>
      <c r="N219" s="41"/>
      <c r="O219" s="41"/>
      <c r="P219" s="41"/>
      <c r="Q219" s="41"/>
      <c r="R219" s="41"/>
    </row>
    <row r="220">
      <c r="C220" s="35"/>
      <c r="E220" s="35"/>
      <c r="G220" s="35"/>
      <c r="I220" s="35"/>
      <c r="K220" s="35"/>
      <c r="L220" s="35"/>
      <c r="N220" s="41"/>
      <c r="O220" s="41"/>
      <c r="P220" s="41"/>
      <c r="Q220" s="41"/>
      <c r="R220" s="41"/>
    </row>
    <row r="221">
      <c r="C221" s="35"/>
      <c r="E221" s="35"/>
      <c r="G221" s="35"/>
      <c r="I221" s="35"/>
      <c r="K221" s="35"/>
      <c r="L221" s="35"/>
      <c r="N221" s="41"/>
      <c r="O221" s="41"/>
      <c r="P221" s="41"/>
      <c r="Q221" s="41"/>
      <c r="R221" s="41"/>
    </row>
    <row r="222">
      <c r="C222" s="35"/>
      <c r="E222" s="35"/>
      <c r="G222" s="35"/>
      <c r="I222" s="35"/>
      <c r="K222" s="35"/>
      <c r="L222" s="35"/>
      <c r="N222" s="41"/>
      <c r="O222" s="41"/>
      <c r="P222" s="41"/>
      <c r="Q222" s="41"/>
      <c r="R222" s="41"/>
    </row>
    <row r="223">
      <c r="C223" s="35"/>
      <c r="E223" s="35"/>
      <c r="G223" s="35"/>
      <c r="I223" s="35"/>
      <c r="K223" s="35"/>
      <c r="L223" s="35"/>
      <c r="N223" s="41"/>
      <c r="O223" s="41"/>
      <c r="P223" s="41"/>
      <c r="Q223" s="41"/>
      <c r="R223" s="41"/>
    </row>
    <row r="224">
      <c r="C224" s="35"/>
      <c r="E224" s="35"/>
      <c r="G224" s="35"/>
      <c r="I224" s="35"/>
      <c r="K224" s="35"/>
      <c r="L224" s="35"/>
      <c r="N224" s="41"/>
      <c r="O224" s="41"/>
      <c r="P224" s="41"/>
      <c r="Q224" s="41"/>
      <c r="R224" s="41"/>
    </row>
    <row r="225">
      <c r="C225" s="35"/>
      <c r="E225" s="35"/>
      <c r="G225" s="35"/>
      <c r="I225" s="35"/>
      <c r="K225" s="35"/>
      <c r="L225" s="35"/>
      <c r="N225" s="41"/>
      <c r="O225" s="41"/>
      <c r="P225" s="41"/>
      <c r="Q225" s="41"/>
      <c r="R225" s="41"/>
    </row>
    <row r="226">
      <c r="C226" s="35"/>
      <c r="E226" s="35"/>
      <c r="G226" s="35"/>
      <c r="I226" s="35"/>
      <c r="K226" s="35"/>
      <c r="L226" s="35"/>
      <c r="N226" s="41"/>
      <c r="O226" s="41"/>
      <c r="P226" s="41"/>
      <c r="Q226" s="41"/>
      <c r="R226" s="41"/>
    </row>
    <row r="227">
      <c r="C227" s="35"/>
      <c r="E227" s="35"/>
      <c r="G227" s="35"/>
      <c r="I227" s="35"/>
      <c r="K227" s="35"/>
      <c r="L227" s="35"/>
      <c r="N227" s="41"/>
      <c r="O227" s="41"/>
      <c r="P227" s="41"/>
      <c r="Q227" s="41"/>
      <c r="R227" s="41"/>
    </row>
    <row r="228">
      <c r="C228" s="35"/>
      <c r="E228" s="35"/>
      <c r="G228" s="35"/>
      <c r="I228" s="35"/>
      <c r="K228" s="35"/>
      <c r="L228" s="35"/>
      <c r="N228" s="41"/>
      <c r="O228" s="41"/>
      <c r="P228" s="41"/>
      <c r="Q228" s="41"/>
      <c r="R228" s="41"/>
    </row>
    <row r="229">
      <c r="C229" s="35"/>
      <c r="E229" s="35"/>
      <c r="G229" s="35"/>
      <c r="I229" s="35"/>
      <c r="K229" s="35"/>
      <c r="L229" s="35"/>
      <c r="N229" s="41"/>
      <c r="O229" s="41"/>
      <c r="P229" s="41"/>
      <c r="Q229" s="41"/>
      <c r="R229" s="41"/>
    </row>
    <row r="230">
      <c r="C230" s="35"/>
      <c r="E230" s="35"/>
      <c r="G230" s="35"/>
      <c r="I230" s="35"/>
      <c r="K230" s="35"/>
      <c r="L230" s="35"/>
      <c r="N230" s="41"/>
      <c r="O230" s="41"/>
      <c r="P230" s="41"/>
      <c r="Q230" s="41"/>
      <c r="R230" s="41"/>
    </row>
    <row r="231">
      <c r="C231" s="35"/>
      <c r="E231" s="35"/>
      <c r="G231" s="35"/>
      <c r="I231" s="35"/>
      <c r="K231" s="35"/>
      <c r="L231" s="35"/>
      <c r="N231" s="41"/>
      <c r="O231" s="41"/>
      <c r="P231" s="41"/>
      <c r="Q231" s="41"/>
      <c r="R231" s="41"/>
    </row>
    <row r="232">
      <c r="C232" s="35"/>
      <c r="E232" s="35"/>
      <c r="G232" s="35"/>
      <c r="I232" s="35"/>
      <c r="K232" s="35"/>
      <c r="L232" s="35"/>
      <c r="N232" s="41"/>
      <c r="O232" s="41"/>
      <c r="P232" s="41"/>
      <c r="Q232" s="41"/>
      <c r="R232" s="41"/>
    </row>
    <row r="233">
      <c r="C233" s="35"/>
      <c r="E233" s="35"/>
      <c r="G233" s="35"/>
      <c r="I233" s="35"/>
      <c r="K233" s="35"/>
      <c r="L233" s="35"/>
      <c r="N233" s="41"/>
      <c r="O233" s="41"/>
      <c r="P233" s="41"/>
      <c r="Q233" s="41"/>
      <c r="R233" s="41"/>
    </row>
    <row r="234">
      <c r="C234" s="35"/>
      <c r="E234" s="35"/>
      <c r="G234" s="35"/>
      <c r="I234" s="35"/>
      <c r="K234" s="35"/>
      <c r="L234" s="35"/>
      <c r="N234" s="41"/>
      <c r="O234" s="41"/>
      <c r="P234" s="41"/>
      <c r="Q234" s="41"/>
      <c r="R234" s="41"/>
    </row>
    <row r="235">
      <c r="C235" s="35"/>
      <c r="E235" s="35"/>
      <c r="G235" s="35"/>
      <c r="I235" s="35"/>
      <c r="K235" s="35"/>
      <c r="L235" s="35"/>
      <c r="N235" s="41"/>
      <c r="O235" s="41"/>
      <c r="P235" s="41"/>
      <c r="Q235" s="41"/>
      <c r="R235" s="41"/>
    </row>
    <row r="236">
      <c r="C236" s="35"/>
      <c r="E236" s="35"/>
      <c r="G236" s="35"/>
      <c r="I236" s="35"/>
      <c r="K236" s="35"/>
      <c r="L236" s="35"/>
      <c r="N236" s="41"/>
      <c r="O236" s="41"/>
      <c r="P236" s="41"/>
      <c r="Q236" s="41"/>
      <c r="R236" s="41"/>
    </row>
    <row r="237">
      <c r="C237" s="35"/>
      <c r="E237" s="35"/>
      <c r="G237" s="35"/>
      <c r="I237" s="35"/>
      <c r="K237" s="35"/>
      <c r="L237" s="35"/>
      <c r="N237" s="41"/>
      <c r="O237" s="41"/>
      <c r="P237" s="41"/>
      <c r="Q237" s="41"/>
      <c r="R237" s="41"/>
    </row>
    <row r="238">
      <c r="C238" s="35"/>
      <c r="E238" s="35"/>
      <c r="G238" s="35"/>
      <c r="I238" s="35"/>
      <c r="K238" s="35"/>
      <c r="L238" s="35"/>
      <c r="N238" s="41"/>
      <c r="O238" s="41"/>
      <c r="P238" s="41"/>
      <c r="Q238" s="41"/>
      <c r="R238" s="41"/>
    </row>
    <row r="239">
      <c r="C239" s="35"/>
      <c r="E239" s="35"/>
      <c r="G239" s="35"/>
      <c r="I239" s="35"/>
      <c r="K239" s="35"/>
      <c r="L239" s="35"/>
      <c r="N239" s="41"/>
      <c r="O239" s="41"/>
      <c r="P239" s="41"/>
      <c r="Q239" s="41"/>
      <c r="R239" s="41"/>
    </row>
    <row r="240">
      <c r="C240" s="35"/>
      <c r="E240" s="35"/>
      <c r="G240" s="35"/>
      <c r="I240" s="35"/>
      <c r="K240" s="35"/>
      <c r="L240" s="35"/>
      <c r="N240" s="41"/>
      <c r="O240" s="41"/>
      <c r="P240" s="41"/>
      <c r="Q240" s="41"/>
      <c r="R240" s="41"/>
    </row>
    <row r="241">
      <c r="C241" s="35"/>
      <c r="E241" s="35"/>
      <c r="G241" s="35"/>
      <c r="I241" s="35"/>
      <c r="K241" s="35"/>
      <c r="L241" s="35"/>
      <c r="N241" s="41"/>
      <c r="O241" s="41"/>
      <c r="P241" s="41"/>
      <c r="Q241" s="41"/>
      <c r="R241" s="41"/>
    </row>
    <row r="242">
      <c r="C242" s="35"/>
      <c r="E242" s="35"/>
      <c r="G242" s="35"/>
      <c r="I242" s="35"/>
      <c r="K242" s="35"/>
      <c r="L242" s="35"/>
      <c r="N242" s="41"/>
      <c r="O242" s="41"/>
      <c r="P242" s="41"/>
      <c r="Q242" s="41"/>
      <c r="R242" s="41"/>
    </row>
    <row r="243">
      <c r="C243" s="35"/>
      <c r="E243" s="35"/>
      <c r="G243" s="35"/>
      <c r="I243" s="35"/>
      <c r="K243" s="35"/>
      <c r="L243" s="35"/>
      <c r="N243" s="41"/>
      <c r="O243" s="41"/>
      <c r="P243" s="41"/>
      <c r="Q243" s="41"/>
      <c r="R243" s="41"/>
    </row>
    <row r="244">
      <c r="C244" s="35"/>
      <c r="E244" s="35"/>
      <c r="G244" s="35"/>
      <c r="I244" s="35"/>
      <c r="K244" s="35"/>
      <c r="L244" s="35"/>
      <c r="N244" s="41"/>
      <c r="O244" s="41"/>
      <c r="P244" s="41"/>
      <c r="Q244" s="41"/>
      <c r="R244" s="41"/>
    </row>
    <row r="245">
      <c r="C245" s="35"/>
      <c r="E245" s="35"/>
      <c r="G245" s="35"/>
      <c r="I245" s="35"/>
      <c r="K245" s="35"/>
      <c r="L245" s="35"/>
      <c r="N245" s="41"/>
      <c r="O245" s="41"/>
      <c r="P245" s="41"/>
      <c r="Q245" s="41"/>
      <c r="R245" s="41"/>
    </row>
    <row r="246">
      <c r="C246" s="35"/>
      <c r="E246" s="35"/>
      <c r="G246" s="35"/>
      <c r="I246" s="35"/>
      <c r="K246" s="35"/>
      <c r="L246" s="35"/>
      <c r="N246" s="41"/>
      <c r="O246" s="41"/>
      <c r="P246" s="41"/>
      <c r="Q246" s="41"/>
      <c r="R246" s="41"/>
    </row>
    <row r="247">
      <c r="C247" s="35"/>
      <c r="E247" s="35"/>
      <c r="G247" s="35"/>
      <c r="I247" s="35"/>
      <c r="K247" s="35"/>
      <c r="L247" s="35"/>
      <c r="N247" s="41"/>
      <c r="O247" s="41"/>
      <c r="P247" s="41"/>
      <c r="Q247" s="41"/>
      <c r="R247" s="41"/>
    </row>
    <row r="248">
      <c r="C248" s="35"/>
      <c r="E248" s="35"/>
      <c r="G248" s="35"/>
      <c r="I248" s="35"/>
      <c r="K248" s="35"/>
      <c r="L248" s="35"/>
      <c r="N248" s="41"/>
      <c r="O248" s="41"/>
      <c r="P248" s="41"/>
      <c r="Q248" s="41"/>
      <c r="R248" s="41"/>
    </row>
    <row r="249">
      <c r="C249" s="35"/>
      <c r="E249" s="35"/>
      <c r="G249" s="35"/>
      <c r="I249" s="35"/>
      <c r="K249" s="35"/>
      <c r="L249" s="35"/>
      <c r="N249" s="41"/>
      <c r="O249" s="41"/>
      <c r="P249" s="41"/>
      <c r="Q249" s="41"/>
      <c r="R249" s="41"/>
    </row>
    <row r="250">
      <c r="C250" s="35"/>
      <c r="E250" s="35"/>
      <c r="G250" s="35"/>
      <c r="I250" s="35"/>
      <c r="K250" s="35"/>
      <c r="L250" s="35"/>
      <c r="N250" s="41"/>
      <c r="O250" s="41"/>
      <c r="P250" s="41"/>
      <c r="Q250" s="41"/>
      <c r="R250" s="41"/>
    </row>
    <row r="251">
      <c r="C251" s="35"/>
      <c r="E251" s="35"/>
      <c r="G251" s="35"/>
      <c r="I251" s="35"/>
      <c r="K251" s="35"/>
      <c r="L251" s="35"/>
      <c r="N251" s="41"/>
      <c r="O251" s="41"/>
      <c r="P251" s="41"/>
      <c r="Q251" s="41"/>
      <c r="R251" s="41"/>
    </row>
    <row r="252">
      <c r="C252" s="35"/>
      <c r="E252" s="35"/>
      <c r="G252" s="35"/>
      <c r="I252" s="35"/>
      <c r="K252" s="35"/>
      <c r="L252" s="35"/>
      <c r="N252" s="41"/>
      <c r="O252" s="41"/>
      <c r="P252" s="41"/>
      <c r="Q252" s="41"/>
      <c r="R252" s="41"/>
    </row>
    <row r="253">
      <c r="C253" s="35"/>
      <c r="E253" s="35"/>
      <c r="G253" s="35"/>
      <c r="I253" s="35"/>
      <c r="K253" s="35"/>
      <c r="L253" s="35"/>
      <c r="N253" s="41"/>
      <c r="O253" s="41"/>
      <c r="P253" s="41"/>
      <c r="Q253" s="41"/>
      <c r="R253" s="41"/>
    </row>
    <row r="254">
      <c r="C254" s="35"/>
      <c r="E254" s="35"/>
      <c r="G254" s="35"/>
      <c r="I254" s="35"/>
      <c r="K254" s="35"/>
      <c r="L254" s="35"/>
      <c r="N254" s="41"/>
      <c r="O254" s="41"/>
      <c r="P254" s="41"/>
      <c r="Q254" s="41"/>
      <c r="R254" s="41"/>
    </row>
    <row r="255">
      <c r="C255" s="35"/>
      <c r="E255" s="35"/>
      <c r="G255" s="35"/>
      <c r="I255" s="35"/>
      <c r="K255" s="35"/>
      <c r="L255" s="35"/>
      <c r="N255" s="41"/>
      <c r="O255" s="41"/>
      <c r="P255" s="41"/>
      <c r="Q255" s="41"/>
      <c r="R255" s="41"/>
    </row>
    <row r="256">
      <c r="C256" s="35"/>
      <c r="E256" s="35"/>
      <c r="G256" s="35"/>
      <c r="I256" s="35"/>
      <c r="K256" s="35"/>
      <c r="L256" s="35"/>
      <c r="N256" s="41"/>
      <c r="O256" s="41"/>
      <c r="P256" s="41"/>
      <c r="Q256" s="41"/>
      <c r="R256" s="41"/>
    </row>
    <row r="257">
      <c r="C257" s="35"/>
      <c r="E257" s="35"/>
      <c r="G257" s="35"/>
      <c r="I257" s="35"/>
      <c r="K257" s="35"/>
      <c r="L257" s="35"/>
      <c r="N257" s="41"/>
      <c r="O257" s="41"/>
      <c r="P257" s="41"/>
      <c r="Q257" s="41"/>
      <c r="R257" s="41"/>
    </row>
    <row r="258">
      <c r="C258" s="35"/>
      <c r="E258" s="35"/>
      <c r="G258" s="35"/>
      <c r="I258" s="35"/>
      <c r="K258" s="35"/>
      <c r="L258" s="35"/>
      <c r="N258" s="41"/>
      <c r="O258" s="41"/>
      <c r="P258" s="41"/>
      <c r="Q258" s="41"/>
      <c r="R258" s="41"/>
    </row>
    <row r="259">
      <c r="C259" s="35"/>
      <c r="E259" s="35"/>
      <c r="G259" s="35"/>
      <c r="I259" s="35"/>
      <c r="K259" s="35"/>
      <c r="L259" s="35"/>
      <c r="N259" s="41"/>
      <c r="O259" s="41"/>
      <c r="P259" s="41"/>
      <c r="Q259" s="41"/>
      <c r="R259" s="41"/>
    </row>
    <row r="260">
      <c r="C260" s="35"/>
      <c r="E260" s="35"/>
      <c r="G260" s="35"/>
      <c r="I260" s="35"/>
      <c r="K260" s="35"/>
      <c r="L260" s="35"/>
      <c r="N260" s="41"/>
      <c r="O260" s="41"/>
      <c r="P260" s="41"/>
      <c r="Q260" s="41"/>
      <c r="R260" s="41"/>
    </row>
    <row r="261">
      <c r="C261" s="35"/>
      <c r="E261" s="35"/>
      <c r="G261" s="35"/>
      <c r="I261" s="35"/>
      <c r="K261" s="35"/>
      <c r="L261" s="35"/>
      <c r="N261" s="41"/>
      <c r="O261" s="41"/>
      <c r="P261" s="41"/>
      <c r="Q261" s="41"/>
      <c r="R261" s="41"/>
    </row>
    <row r="262">
      <c r="C262" s="35"/>
      <c r="E262" s="35"/>
      <c r="G262" s="35"/>
      <c r="I262" s="35"/>
      <c r="K262" s="35"/>
      <c r="L262" s="35"/>
      <c r="N262" s="41"/>
      <c r="O262" s="41"/>
      <c r="P262" s="41"/>
      <c r="Q262" s="41"/>
      <c r="R262" s="41"/>
    </row>
    <row r="263">
      <c r="C263" s="35"/>
      <c r="E263" s="35"/>
      <c r="G263" s="35"/>
      <c r="I263" s="35"/>
      <c r="K263" s="35"/>
      <c r="L263" s="35"/>
      <c r="N263" s="41"/>
      <c r="O263" s="41"/>
      <c r="P263" s="41"/>
      <c r="Q263" s="41"/>
      <c r="R263" s="41"/>
    </row>
    <row r="264">
      <c r="C264" s="35"/>
      <c r="E264" s="35"/>
      <c r="G264" s="35"/>
      <c r="I264" s="35"/>
      <c r="K264" s="35"/>
      <c r="L264" s="35"/>
      <c r="N264" s="41"/>
      <c r="O264" s="41"/>
      <c r="P264" s="41"/>
      <c r="Q264" s="41"/>
      <c r="R264" s="41"/>
    </row>
    <row r="265">
      <c r="C265" s="35"/>
      <c r="E265" s="35"/>
      <c r="G265" s="35"/>
      <c r="I265" s="35"/>
      <c r="K265" s="35"/>
      <c r="L265" s="35"/>
      <c r="N265" s="41"/>
      <c r="O265" s="41"/>
      <c r="P265" s="41"/>
      <c r="Q265" s="41"/>
      <c r="R265" s="41"/>
    </row>
    <row r="266">
      <c r="C266" s="35"/>
      <c r="E266" s="35"/>
      <c r="G266" s="35"/>
      <c r="I266" s="35"/>
      <c r="K266" s="35"/>
      <c r="L266" s="35"/>
      <c r="N266" s="41"/>
      <c r="O266" s="41"/>
      <c r="P266" s="41"/>
      <c r="Q266" s="41"/>
      <c r="R266" s="41"/>
    </row>
    <row r="267">
      <c r="C267" s="35"/>
      <c r="E267" s="35"/>
      <c r="G267" s="35"/>
      <c r="I267" s="35"/>
      <c r="K267" s="35"/>
      <c r="L267" s="35"/>
      <c r="N267" s="41"/>
      <c r="O267" s="41"/>
      <c r="P267" s="41"/>
      <c r="Q267" s="41"/>
      <c r="R267" s="41"/>
    </row>
    <row r="268">
      <c r="C268" s="35"/>
      <c r="E268" s="35"/>
      <c r="G268" s="35"/>
      <c r="I268" s="35"/>
      <c r="K268" s="35"/>
      <c r="L268" s="35"/>
      <c r="N268" s="41"/>
      <c r="O268" s="41"/>
      <c r="P268" s="41"/>
      <c r="Q268" s="41"/>
      <c r="R268" s="41"/>
    </row>
    <row r="269">
      <c r="C269" s="35"/>
      <c r="E269" s="35"/>
      <c r="G269" s="35"/>
      <c r="I269" s="35"/>
      <c r="K269" s="35"/>
      <c r="L269" s="35"/>
      <c r="N269" s="41"/>
      <c r="O269" s="41"/>
      <c r="P269" s="41"/>
      <c r="Q269" s="41"/>
      <c r="R269" s="41"/>
    </row>
    <row r="270">
      <c r="C270" s="35"/>
      <c r="E270" s="35"/>
      <c r="G270" s="35"/>
      <c r="I270" s="35"/>
      <c r="K270" s="35"/>
      <c r="L270" s="35"/>
      <c r="N270" s="41"/>
      <c r="O270" s="41"/>
      <c r="P270" s="41"/>
      <c r="Q270" s="41"/>
      <c r="R270" s="41"/>
    </row>
    <row r="271">
      <c r="C271" s="35"/>
      <c r="E271" s="35"/>
      <c r="G271" s="35"/>
      <c r="I271" s="35"/>
      <c r="K271" s="35"/>
      <c r="L271" s="35"/>
      <c r="N271" s="41"/>
      <c r="O271" s="41"/>
      <c r="P271" s="41"/>
      <c r="Q271" s="41"/>
      <c r="R271" s="41"/>
    </row>
    <row r="272">
      <c r="C272" s="35"/>
      <c r="E272" s="35"/>
      <c r="G272" s="35"/>
      <c r="I272" s="35"/>
      <c r="K272" s="35"/>
      <c r="L272" s="35"/>
      <c r="N272" s="41"/>
      <c r="O272" s="41"/>
      <c r="P272" s="41"/>
      <c r="Q272" s="41"/>
      <c r="R272" s="41"/>
    </row>
    <row r="273">
      <c r="C273" s="35"/>
      <c r="E273" s="35"/>
      <c r="G273" s="35"/>
      <c r="I273" s="35"/>
      <c r="K273" s="35"/>
      <c r="L273" s="35"/>
      <c r="N273" s="41"/>
      <c r="O273" s="41"/>
      <c r="P273" s="41"/>
      <c r="Q273" s="41"/>
      <c r="R273" s="41"/>
    </row>
    <row r="274">
      <c r="C274" s="35"/>
      <c r="E274" s="35"/>
      <c r="G274" s="35"/>
      <c r="I274" s="35"/>
      <c r="K274" s="35"/>
      <c r="L274" s="35"/>
      <c r="N274" s="41"/>
      <c r="O274" s="41"/>
      <c r="P274" s="41"/>
      <c r="Q274" s="41"/>
      <c r="R274" s="41"/>
    </row>
    <row r="275">
      <c r="C275" s="35"/>
      <c r="E275" s="35"/>
      <c r="G275" s="35"/>
      <c r="I275" s="35"/>
      <c r="K275" s="35"/>
      <c r="L275" s="35"/>
      <c r="N275" s="41"/>
      <c r="O275" s="41"/>
      <c r="P275" s="41"/>
      <c r="Q275" s="41"/>
      <c r="R275" s="41"/>
    </row>
    <row r="276">
      <c r="C276" s="35"/>
      <c r="E276" s="35"/>
      <c r="G276" s="35"/>
      <c r="I276" s="35"/>
      <c r="K276" s="35"/>
      <c r="L276" s="35"/>
      <c r="N276" s="41"/>
      <c r="O276" s="41"/>
      <c r="P276" s="41"/>
      <c r="Q276" s="41"/>
      <c r="R276" s="41"/>
    </row>
    <row r="277">
      <c r="C277" s="35"/>
      <c r="E277" s="35"/>
      <c r="G277" s="35"/>
      <c r="I277" s="35"/>
      <c r="K277" s="35"/>
      <c r="L277" s="35"/>
      <c r="N277" s="41"/>
      <c r="O277" s="41"/>
      <c r="P277" s="41"/>
      <c r="Q277" s="41"/>
      <c r="R277" s="41"/>
    </row>
    <row r="278">
      <c r="C278" s="35"/>
      <c r="E278" s="35"/>
      <c r="G278" s="35"/>
      <c r="I278" s="35"/>
      <c r="K278" s="35"/>
      <c r="L278" s="35"/>
      <c r="N278" s="41"/>
      <c r="O278" s="41"/>
      <c r="P278" s="41"/>
      <c r="Q278" s="41"/>
      <c r="R278" s="41"/>
    </row>
    <row r="279">
      <c r="C279" s="35"/>
      <c r="E279" s="35"/>
      <c r="G279" s="35"/>
      <c r="I279" s="35"/>
      <c r="K279" s="35"/>
      <c r="L279" s="35"/>
      <c r="N279" s="41"/>
      <c r="O279" s="41"/>
      <c r="P279" s="41"/>
      <c r="Q279" s="41"/>
      <c r="R279" s="41"/>
    </row>
    <row r="280">
      <c r="C280" s="35"/>
      <c r="E280" s="35"/>
      <c r="G280" s="35"/>
      <c r="I280" s="35"/>
      <c r="K280" s="35"/>
      <c r="L280" s="35"/>
      <c r="N280" s="41"/>
      <c r="O280" s="41"/>
      <c r="P280" s="41"/>
      <c r="Q280" s="41"/>
      <c r="R280" s="41"/>
    </row>
    <row r="281">
      <c r="C281" s="35"/>
      <c r="E281" s="35"/>
      <c r="G281" s="35"/>
      <c r="I281" s="35"/>
      <c r="K281" s="35"/>
      <c r="L281" s="35"/>
      <c r="N281" s="41"/>
      <c r="O281" s="41"/>
      <c r="P281" s="41"/>
      <c r="Q281" s="41"/>
      <c r="R281" s="41"/>
    </row>
    <row r="282">
      <c r="C282" s="35"/>
      <c r="E282" s="35"/>
      <c r="G282" s="35"/>
      <c r="I282" s="35"/>
      <c r="K282" s="35"/>
      <c r="L282" s="35"/>
      <c r="N282" s="41"/>
      <c r="O282" s="41"/>
      <c r="P282" s="41"/>
      <c r="Q282" s="41"/>
      <c r="R282" s="41"/>
    </row>
    <row r="283">
      <c r="C283" s="35"/>
      <c r="E283" s="35"/>
      <c r="G283" s="35"/>
      <c r="I283" s="35"/>
      <c r="K283" s="35"/>
      <c r="L283" s="35"/>
      <c r="N283" s="41"/>
      <c r="O283" s="41"/>
      <c r="P283" s="41"/>
      <c r="Q283" s="41"/>
      <c r="R283" s="41"/>
    </row>
    <row r="284">
      <c r="C284" s="35"/>
      <c r="E284" s="35"/>
      <c r="G284" s="35"/>
      <c r="I284" s="35"/>
      <c r="K284" s="35"/>
      <c r="L284" s="35"/>
      <c r="N284" s="41"/>
      <c r="O284" s="41"/>
      <c r="P284" s="41"/>
      <c r="Q284" s="41"/>
      <c r="R284" s="41"/>
    </row>
    <row r="285">
      <c r="C285" s="35"/>
      <c r="E285" s="35"/>
      <c r="G285" s="35"/>
      <c r="I285" s="35"/>
      <c r="K285" s="35"/>
      <c r="L285" s="35"/>
      <c r="N285" s="41"/>
      <c r="O285" s="41"/>
      <c r="P285" s="41"/>
      <c r="Q285" s="41"/>
      <c r="R285" s="41"/>
    </row>
    <row r="286">
      <c r="C286" s="35"/>
      <c r="E286" s="35"/>
      <c r="G286" s="35"/>
      <c r="I286" s="35"/>
      <c r="K286" s="35"/>
      <c r="L286" s="35"/>
      <c r="N286" s="41"/>
      <c r="O286" s="41"/>
      <c r="P286" s="41"/>
      <c r="Q286" s="41"/>
      <c r="R286" s="41"/>
    </row>
    <row r="287">
      <c r="C287" s="35"/>
      <c r="E287" s="35"/>
      <c r="G287" s="35"/>
      <c r="I287" s="35"/>
      <c r="K287" s="35"/>
      <c r="L287" s="35"/>
      <c r="N287" s="41"/>
      <c r="O287" s="41"/>
      <c r="P287" s="41"/>
      <c r="Q287" s="41"/>
      <c r="R287" s="41"/>
    </row>
    <row r="288">
      <c r="C288" s="35"/>
      <c r="E288" s="35"/>
      <c r="G288" s="35"/>
      <c r="I288" s="35"/>
      <c r="K288" s="35"/>
      <c r="L288" s="35"/>
      <c r="N288" s="41"/>
      <c r="O288" s="41"/>
      <c r="P288" s="41"/>
      <c r="Q288" s="41"/>
      <c r="R288" s="41"/>
    </row>
    <row r="289">
      <c r="C289" s="35"/>
      <c r="E289" s="35"/>
      <c r="G289" s="35"/>
      <c r="I289" s="35"/>
      <c r="K289" s="35"/>
      <c r="L289" s="35"/>
      <c r="N289" s="41"/>
      <c r="O289" s="41"/>
      <c r="P289" s="41"/>
      <c r="Q289" s="41"/>
      <c r="R289" s="41"/>
    </row>
    <row r="290">
      <c r="C290" s="35"/>
      <c r="E290" s="35"/>
      <c r="G290" s="35"/>
      <c r="I290" s="35"/>
      <c r="K290" s="35"/>
      <c r="L290" s="35"/>
      <c r="N290" s="41"/>
      <c r="O290" s="41"/>
      <c r="P290" s="41"/>
      <c r="Q290" s="41"/>
      <c r="R290" s="41"/>
    </row>
    <row r="291">
      <c r="C291" s="35"/>
      <c r="E291" s="35"/>
      <c r="G291" s="35"/>
      <c r="I291" s="35"/>
      <c r="K291" s="35"/>
      <c r="L291" s="35"/>
      <c r="N291" s="41"/>
      <c r="O291" s="41"/>
      <c r="P291" s="41"/>
      <c r="Q291" s="41"/>
      <c r="R291" s="41"/>
    </row>
    <row r="292">
      <c r="C292" s="35"/>
      <c r="E292" s="35"/>
      <c r="G292" s="35"/>
      <c r="I292" s="35"/>
      <c r="K292" s="35"/>
      <c r="L292" s="35"/>
      <c r="N292" s="41"/>
      <c r="O292" s="41"/>
      <c r="P292" s="41"/>
      <c r="Q292" s="41"/>
      <c r="R292" s="41"/>
    </row>
    <row r="293">
      <c r="C293" s="35"/>
      <c r="E293" s="35"/>
      <c r="G293" s="35"/>
      <c r="I293" s="35"/>
      <c r="K293" s="35"/>
      <c r="L293" s="35"/>
      <c r="N293" s="41"/>
      <c r="O293" s="41"/>
      <c r="P293" s="41"/>
      <c r="Q293" s="41"/>
      <c r="R293" s="41"/>
    </row>
    <row r="294">
      <c r="C294" s="35"/>
      <c r="E294" s="35"/>
      <c r="G294" s="35"/>
      <c r="I294" s="35"/>
      <c r="K294" s="35"/>
      <c r="L294" s="35"/>
      <c r="N294" s="41"/>
      <c r="O294" s="41"/>
      <c r="P294" s="41"/>
      <c r="Q294" s="41"/>
      <c r="R294" s="41"/>
    </row>
    <row r="295">
      <c r="C295" s="35"/>
      <c r="E295" s="35"/>
      <c r="G295" s="35"/>
      <c r="I295" s="35"/>
      <c r="K295" s="35"/>
      <c r="L295" s="35"/>
      <c r="N295" s="41"/>
      <c r="O295" s="41"/>
      <c r="P295" s="41"/>
      <c r="Q295" s="41"/>
      <c r="R295" s="41"/>
    </row>
    <row r="296">
      <c r="C296" s="35"/>
      <c r="E296" s="35"/>
      <c r="G296" s="35"/>
      <c r="I296" s="35"/>
      <c r="K296" s="35"/>
      <c r="L296" s="35"/>
      <c r="N296" s="41"/>
      <c r="O296" s="41"/>
      <c r="P296" s="41"/>
      <c r="Q296" s="41"/>
      <c r="R296" s="41"/>
    </row>
    <row r="297">
      <c r="C297" s="35"/>
      <c r="E297" s="35"/>
      <c r="G297" s="35"/>
      <c r="I297" s="35"/>
      <c r="K297" s="35"/>
      <c r="L297" s="35"/>
      <c r="N297" s="41"/>
      <c r="O297" s="41"/>
      <c r="P297" s="41"/>
      <c r="Q297" s="41"/>
      <c r="R297" s="41"/>
    </row>
    <row r="298">
      <c r="C298" s="35"/>
      <c r="E298" s="35"/>
      <c r="G298" s="35"/>
      <c r="I298" s="35"/>
      <c r="K298" s="35"/>
      <c r="L298" s="35"/>
      <c r="N298" s="41"/>
      <c r="O298" s="41"/>
      <c r="P298" s="41"/>
      <c r="Q298" s="41"/>
      <c r="R298" s="41"/>
    </row>
    <row r="299">
      <c r="C299" s="35"/>
      <c r="E299" s="35"/>
      <c r="G299" s="35"/>
      <c r="I299" s="35"/>
      <c r="K299" s="35"/>
      <c r="L299" s="35"/>
      <c r="N299" s="41"/>
      <c r="O299" s="41"/>
      <c r="P299" s="41"/>
      <c r="Q299" s="41"/>
      <c r="R299" s="41"/>
    </row>
    <row r="300">
      <c r="C300" s="35"/>
      <c r="E300" s="35"/>
      <c r="G300" s="35"/>
      <c r="I300" s="35"/>
      <c r="K300" s="35"/>
      <c r="L300" s="35"/>
      <c r="N300" s="41"/>
      <c r="O300" s="41"/>
      <c r="P300" s="41"/>
      <c r="Q300" s="41"/>
      <c r="R300" s="41"/>
    </row>
    <row r="301">
      <c r="C301" s="35"/>
      <c r="E301" s="35"/>
      <c r="G301" s="35"/>
      <c r="I301" s="35"/>
      <c r="K301" s="35"/>
      <c r="L301" s="35"/>
      <c r="N301" s="41"/>
      <c r="O301" s="41"/>
      <c r="P301" s="41"/>
      <c r="Q301" s="41"/>
      <c r="R301" s="41"/>
    </row>
    <row r="302">
      <c r="C302" s="35"/>
      <c r="E302" s="35"/>
      <c r="G302" s="35"/>
      <c r="I302" s="35"/>
      <c r="K302" s="35"/>
      <c r="L302" s="35"/>
      <c r="N302" s="41"/>
      <c r="O302" s="41"/>
      <c r="P302" s="41"/>
      <c r="Q302" s="41"/>
      <c r="R302" s="41"/>
    </row>
    <row r="303">
      <c r="C303" s="35"/>
      <c r="E303" s="35"/>
      <c r="G303" s="35"/>
      <c r="I303" s="35"/>
      <c r="K303" s="35"/>
      <c r="L303" s="35"/>
      <c r="N303" s="41"/>
      <c r="O303" s="41"/>
      <c r="P303" s="41"/>
      <c r="Q303" s="41"/>
      <c r="R303" s="41"/>
    </row>
    <row r="304">
      <c r="C304" s="35"/>
      <c r="E304" s="35"/>
      <c r="G304" s="35"/>
      <c r="I304" s="35"/>
      <c r="K304" s="35"/>
      <c r="L304" s="35"/>
      <c r="N304" s="41"/>
      <c r="O304" s="41"/>
      <c r="P304" s="41"/>
      <c r="Q304" s="41"/>
      <c r="R304" s="41"/>
    </row>
    <row r="305">
      <c r="C305" s="35"/>
      <c r="E305" s="35"/>
      <c r="G305" s="35"/>
      <c r="I305" s="35"/>
      <c r="K305" s="35"/>
      <c r="L305" s="35"/>
      <c r="N305" s="41"/>
      <c r="O305" s="41"/>
      <c r="P305" s="41"/>
      <c r="Q305" s="41"/>
      <c r="R305" s="41"/>
    </row>
    <row r="306">
      <c r="C306" s="35"/>
      <c r="E306" s="35"/>
      <c r="G306" s="35"/>
      <c r="I306" s="35"/>
      <c r="K306" s="35"/>
      <c r="L306" s="35"/>
      <c r="N306" s="41"/>
      <c r="O306" s="41"/>
      <c r="P306" s="41"/>
      <c r="Q306" s="41"/>
      <c r="R306" s="41"/>
    </row>
    <row r="307">
      <c r="C307" s="35"/>
      <c r="E307" s="35"/>
      <c r="G307" s="35"/>
      <c r="I307" s="35"/>
      <c r="K307" s="35"/>
      <c r="L307" s="35"/>
      <c r="N307" s="41"/>
      <c r="O307" s="41"/>
      <c r="P307" s="41"/>
      <c r="Q307" s="41"/>
      <c r="R307" s="41"/>
    </row>
    <row r="308">
      <c r="C308" s="35"/>
      <c r="E308" s="35"/>
      <c r="G308" s="35"/>
      <c r="I308" s="35"/>
      <c r="K308" s="35"/>
      <c r="L308" s="35"/>
      <c r="N308" s="41"/>
      <c r="O308" s="41"/>
      <c r="P308" s="41"/>
      <c r="Q308" s="41"/>
      <c r="R308" s="41"/>
    </row>
    <row r="309">
      <c r="C309" s="35"/>
      <c r="E309" s="35"/>
      <c r="G309" s="35"/>
      <c r="I309" s="35"/>
      <c r="K309" s="35"/>
      <c r="L309" s="35"/>
      <c r="N309" s="41"/>
      <c r="O309" s="41"/>
      <c r="P309" s="41"/>
      <c r="Q309" s="41"/>
      <c r="R309" s="41"/>
    </row>
    <row r="310">
      <c r="C310" s="35"/>
      <c r="E310" s="35"/>
      <c r="G310" s="35"/>
      <c r="I310" s="35"/>
      <c r="K310" s="35"/>
      <c r="L310" s="35"/>
      <c r="N310" s="41"/>
      <c r="O310" s="41"/>
      <c r="P310" s="41"/>
      <c r="Q310" s="41"/>
      <c r="R310" s="41"/>
    </row>
    <row r="311">
      <c r="C311" s="35"/>
      <c r="E311" s="35"/>
      <c r="G311" s="35"/>
      <c r="I311" s="35"/>
      <c r="K311" s="35"/>
      <c r="L311" s="35"/>
      <c r="N311" s="41"/>
      <c r="O311" s="41"/>
      <c r="P311" s="41"/>
      <c r="Q311" s="41"/>
      <c r="R311" s="41"/>
    </row>
    <row r="312">
      <c r="C312" s="35"/>
      <c r="E312" s="35"/>
      <c r="G312" s="35"/>
      <c r="I312" s="35"/>
      <c r="K312" s="35"/>
      <c r="L312" s="35"/>
      <c r="N312" s="41"/>
      <c r="O312" s="41"/>
      <c r="P312" s="41"/>
      <c r="Q312" s="41"/>
      <c r="R312" s="41"/>
    </row>
    <row r="313">
      <c r="C313" s="35"/>
      <c r="E313" s="35"/>
      <c r="G313" s="35"/>
      <c r="I313" s="35"/>
      <c r="K313" s="35"/>
      <c r="L313" s="35"/>
      <c r="N313" s="41"/>
      <c r="O313" s="41"/>
      <c r="P313" s="41"/>
      <c r="Q313" s="41"/>
      <c r="R313" s="41"/>
    </row>
    <row r="314">
      <c r="C314" s="35"/>
      <c r="E314" s="35"/>
      <c r="G314" s="35"/>
      <c r="I314" s="35"/>
      <c r="K314" s="35"/>
      <c r="L314" s="35"/>
      <c r="N314" s="41"/>
      <c r="O314" s="41"/>
      <c r="P314" s="41"/>
      <c r="Q314" s="41"/>
      <c r="R314" s="41"/>
    </row>
    <row r="315">
      <c r="C315" s="35"/>
      <c r="E315" s="35"/>
      <c r="G315" s="35"/>
      <c r="I315" s="35"/>
      <c r="K315" s="35"/>
      <c r="L315" s="35"/>
      <c r="N315" s="41"/>
      <c r="O315" s="41"/>
      <c r="P315" s="41"/>
      <c r="Q315" s="41"/>
      <c r="R315" s="41"/>
    </row>
    <row r="316">
      <c r="C316" s="35"/>
      <c r="E316" s="35"/>
      <c r="G316" s="35"/>
      <c r="I316" s="35"/>
      <c r="K316" s="35"/>
      <c r="L316" s="35"/>
      <c r="N316" s="41"/>
      <c r="O316" s="41"/>
      <c r="P316" s="41"/>
      <c r="Q316" s="41"/>
      <c r="R316" s="41"/>
    </row>
    <row r="317">
      <c r="C317" s="35"/>
      <c r="E317" s="35"/>
      <c r="G317" s="35"/>
      <c r="I317" s="35"/>
      <c r="K317" s="35"/>
      <c r="L317" s="35"/>
      <c r="N317" s="41"/>
      <c r="O317" s="41"/>
      <c r="P317" s="41"/>
      <c r="Q317" s="41"/>
      <c r="R317" s="41"/>
    </row>
    <row r="318">
      <c r="C318" s="35"/>
      <c r="E318" s="35"/>
      <c r="G318" s="35"/>
      <c r="I318" s="35"/>
      <c r="K318" s="35"/>
      <c r="L318" s="35"/>
      <c r="N318" s="41"/>
      <c r="O318" s="41"/>
      <c r="P318" s="41"/>
      <c r="Q318" s="41"/>
      <c r="R318" s="41"/>
    </row>
    <row r="319">
      <c r="C319" s="35"/>
      <c r="E319" s="35"/>
      <c r="G319" s="35"/>
      <c r="I319" s="35"/>
      <c r="K319" s="35"/>
      <c r="L319" s="35"/>
      <c r="N319" s="41"/>
      <c r="O319" s="41"/>
      <c r="P319" s="41"/>
      <c r="Q319" s="41"/>
      <c r="R319" s="41"/>
    </row>
    <row r="320">
      <c r="C320" s="35"/>
      <c r="E320" s="35"/>
      <c r="G320" s="35"/>
      <c r="I320" s="35"/>
      <c r="K320" s="35"/>
      <c r="L320" s="35"/>
      <c r="N320" s="41"/>
      <c r="O320" s="41"/>
      <c r="P320" s="41"/>
      <c r="Q320" s="41"/>
      <c r="R320" s="41"/>
    </row>
    <row r="321">
      <c r="C321" s="35"/>
      <c r="E321" s="35"/>
      <c r="G321" s="35"/>
      <c r="I321" s="35"/>
      <c r="K321" s="35"/>
      <c r="L321" s="35"/>
      <c r="N321" s="41"/>
      <c r="O321" s="41"/>
      <c r="P321" s="41"/>
      <c r="Q321" s="41"/>
      <c r="R321" s="41"/>
    </row>
    <row r="322">
      <c r="C322" s="35"/>
      <c r="E322" s="35"/>
      <c r="G322" s="35"/>
      <c r="I322" s="35"/>
      <c r="K322" s="35"/>
      <c r="L322" s="35"/>
      <c r="N322" s="41"/>
      <c r="O322" s="41"/>
      <c r="P322" s="41"/>
      <c r="Q322" s="41"/>
      <c r="R322" s="41"/>
    </row>
    <row r="323">
      <c r="C323" s="35"/>
      <c r="E323" s="35"/>
      <c r="G323" s="35"/>
      <c r="I323" s="35"/>
      <c r="K323" s="35"/>
      <c r="L323" s="35"/>
      <c r="N323" s="41"/>
      <c r="O323" s="41"/>
      <c r="P323" s="41"/>
      <c r="Q323" s="41"/>
      <c r="R323" s="41"/>
    </row>
    <row r="324">
      <c r="C324" s="35"/>
      <c r="E324" s="35"/>
      <c r="G324" s="35"/>
      <c r="I324" s="35"/>
      <c r="K324" s="35"/>
      <c r="L324" s="35"/>
      <c r="N324" s="41"/>
      <c r="O324" s="41"/>
      <c r="P324" s="41"/>
      <c r="Q324" s="41"/>
      <c r="R324" s="41"/>
    </row>
    <row r="325">
      <c r="C325" s="35"/>
      <c r="E325" s="35"/>
      <c r="G325" s="35"/>
      <c r="I325" s="35"/>
      <c r="K325" s="35"/>
      <c r="L325" s="35"/>
      <c r="N325" s="41"/>
      <c r="O325" s="41"/>
      <c r="P325" s="41"/>
      <c r="Q325" s="41"/>
      <c r="R325" s="41"/>
    </row>
    <row r="326">
      <c r="C326" s="35"/>
      <c r="E326" s="35"/>
      <c r="G326" s="35"/>
      <c r="I326" s="35"/>
      <c r="K326" s="35"/>
      <c r="L326" s="35"/>
      <c r="N326" s="41"/>
      <c r="O326" s="41"/>
      <c r="P326" s="41"/>
      <c r="Q326" s="41"/>
      <c r="R326" s="41"/>
    </row>
    <row r="327">
      <c r="C327" s="35"/>
      <c r="E327" s="35"/>
      <c r="G327" s="35"/>
      <c r="I327" s="35"/>
      <c r="K327" s="35"/>
      <c r="L327" s="35"/>
      <c r="N327" s="41"/>
      <c r="O327" s="41"/>
      <c r="P327" s="41"/>
      <c r="Q327" s="41"/>
      <c r="R327" s="41"/>
    </row>
    <row r="328">
      <c r="C328" s="35"/>
      <c r="E328" s="35"/>
      <c r="G328" s="35"/>
      <c r="I328" s="35"/>
      <c r="K328" s="35"/>
      <c r="L328" s="35"/>
      <c r="N328" s="41"/>
      <c r="O328" s="41"/>
      <c r="P328" s="41"/>
      <c r="Q328" s="41"/>
      <c r="R328" s="41"/>
    </row>
    <row r="329">
      <c r="C329" s="35"/>
      <c r="E329" s="35"/>
      <c r="G329" s="35"/>
      <c r="I329" s="35"/>
      <c r="K329" s="35"/>
      <c r="L329" s="35"/>
      <c r="N329" s="41"/>
      <c r="O329" s="41"/>
      <c r="P329" s="41"/>
      <c r="Q329" s="41"/>
      <c r="R329" s="41"/>
    </row>
    <row r="330">
      <c r="C330" s="35"/>
      <c r="E330" s="35"/>
      <c r="G330" s="35"/>
      <c r="I330" s="35"/>
      <c r="K330" s="35"/>
      <c r="L330" s="35"/>
      <c r="N330" s="41"/>
      <c r="O330" s="41"/>
      <c r="P330" s="41"/>
      <c r="Q330" s="41"/>
      <c r="R330" s="41"/>
    </row>
    <row r="331">
      <c r="C331" s="35"/>
      <c r="E331" s="35"/>
      <c r="G331" s="35"/>
      <c r="I331" s="35"/>
      <c r="K331" s="35"/>
      <c r="L331" s="35"/>
      <c r="N331" s="41"/>
      <c r="O331" s="41"/>
      <c r="P331" s="41"/>
      <c r="Q331" s="41"/>
      <c r="R331" s="41"/>
    </row>
    <row r="332">
      <c r="C332" s="35"/>
      <c r="E332" s="35"/>
      <c r="G332" s="35"/>
      <c r="I332" s="35"/>
      <c r="K332" s="35"/>
      <c r="L332" s="35"/>
      <c r="N332" s="41"/>
      <c r="O332" s="41"/>
      <c r="P332" s="41"/>
      <c r="Q332" s="41"/>
      <c r="R332" s="41"/>
    </row>
    <row r="333">
      <c r="C333" s="35"/>
      <c r="E333" s="35"/>
      <c r="G333" s="35"/>
      <c r="I333" s="35"/>
      <c r="K333" s="35"/>
      <c r="L333" s="35"/>
      <c r="N333" s="41"/>
      <c r="O333" s="41"/>
      <c r="P333" s="41"/>
      <c r="Q333" s="41"/>
      <c r="R333" s="41"/>
    </row>
    <row r="334">
      <c r="C334" s="35"/>
      <c r="E334" s="35"/>
      <c r="G334" s="35"/>
      <c r="I334" s="35"/>
      <c r="K334" s="35"/>
      <c r="L334" s="35"/>
      <c r="N334" s="41"/>
      <c r="O334" s="41"/>
      <c r="P334" s="41"/>
      <c r="Q334" s="41"/>
      <c r="R334" s="41"/>
    </row>
    <row r="335">
      <c r="C335" s="35"/>
      <c r="E335" s="35"/>
      <c r="G335" s="35"/>
      <c r="I335" s="35"/>
      <c r="K335" s="35"/>
      <c r="L335" s="35"/>
      <c r="N335" s="41"/>
      <c r="O335" s="41"/>
      <c r="P335" s="41"/>
      <c r="Q335" s="41"/>
      <c r="R335" s="41"/>
    </row>
    <row r="336">
      <c r="C336" s="35"/>
      <c r="E336" s="35"/>
      <c r="G336" s="35"/>
      <c r="I336" s="35"/>
      <c r="K336" s="35"/>
      <c r="L336" s="35"/>
      <c r="N336" s="41"/>
      <c r="O336" s="41"/>
      <c r="P336" s="41"/>
      <c r="Q336" s="41"/>
      <c r="R336" s="41"/>
    </row>
    <row r="337">
      <c r="C337" s="35"/>
      <c r="E337" s="35"/>
      <c r="G337" s="35"/>
      <c r="I337" s="35"/>
      <c r="K337" s="35"/>
      <c r="L337" s="35"/>
      <c r="N337" s="41"/>
      <c r="O337" s="41"/>
      <c r="P337" s="41"/>
      <c r="Q337" s="41"/>
      <c r="R337" s="41"/>
    </row>
    <row r="338">
      <c r="C338" s="35"/>
      <c r="E338" s="35"/>
      <c r="G338" s="35"/>
      <c r="I338" s="35"/>
      <c r="K338" s="35"/>
      <c r="L338" s="35"/>
      <c r="N338" s="41"/>
      <c r="O338" s="41"/>
      <c r="P338" s="41"/>
      <c r="Q338" s="41"/>
      <c r="R338" s="41"/>
    </row>
    <row r="339">
      <c r="C339" s="35"/>
      <c r="E339" s="35"/>
      <c r="G339" s="35"/>
      <c r="I339" s="35"/>
      <c r="K339" s="35"/>
      <c r="L339" s="35"/>
      <c r="N339" s="41"/>
      <c r="O339" s="41"/>
      <c r="P339" s="41"/>
      <c r="Q339" s="41"/>
      <c r="R339" s="41"/>
    </row>
    <row r="340">
      <c r="C340" s="35"/>
      <c r="E340" s="35"/>
      <c r="G340" s="35"/>
      <c r="I340" s="35"/>
      <c r="K340" s="35"/>
      <c r="L340" s="35"/>
      <c r="N340" s="41"/>
      <c r="O340" s="41"/>
      <c r="P340" s="41"/>
      <c r="Q340" s="41"/>
      <c r="R340" s="41"/>
    </row>
    <row r="341">
      <c r="C341" s="35"/>
      <c r="E341" s="35"/>
      <c r="G341" s="35"/>
      <c r="I341" s="35"/>
      <c r="K341" s="35"/>
      <c r="L341" s="35"/>
      <c r="N341" s="41"/>
      <c r="O341" s="41"/>
      <c r="P341" s="41"/>
      <c r="Q341" s="41"/>
      <c r="R341" s="41"/>
    </row>
    <row r="342">
      <c r="C342" s="35"/>
      <c r="E342" s="35"/>
      <c r="G342" s="35"/>
      <c r="I342" s="35"/>
      <c r="K342" s="35"/>
      <c r="L342" s="35"/>
      <c r="N342" s="41"/>
      <c r="O342" s="41"/>
      <c r="P342" s="41"/>
      <c r="Q342" s="41"/>
      <c r="R342" s="41"/>
    </row>
    <row r="343">
      <c r="C343" s="35"/>
      <c r="E343" s="35"/>
      <c r="G343" s="35"/>
      <c r="I343" s="35"/>
      <c r="K343" s="35"/>
      <c r="L343" s="35"/>
      <c r="N343" s="41"/>
      <c r="O343" s="41"/>
      <c r="P343" s="41"/>
      <c r="Q343" s="41"/>
      <c r="R343" s="41"/>
    </row>
    <row r="344">
      <c r="C344" s="35"/>
      <c r="E344" s="35"/>
      <c r="G344" s="35"/>
      <c r="I344" s="35"/>
      <c r="K344" s="35"/>
      <c r="L344" s="35"/>
      <c r="N344" s="41"/>
      <c r="O344" s="41"/>
      <c r="P344" s="41"/>
      <c r="Q344" s="41"/>
      <c r="R344" s="41"/>
    </row>
    <row r="345">
      <c r="C345" s="35"/>
      <c r="E345" s="35"/>
      <c r="G345" s="35"/>
      <c r="I345" s="35"/>
      <c r="K345" s="35"/>
      <c r="L345" s="35"/>
      <c r="N345" s="41"/>
      <c r="O345" s="41"/>
      <c r="P345" s="41"/>
      <c r="Q345" s="41"/>
      <c r="R345" s="41"/>
    </row>
    <row r="346">
      <c r="C346" s="35"/>
      <c r="E346" s="35"/>
      <c r="G346" s="35"/>
      <c r="I346" s="35"/>
      <c r="K346" s="35"/>
      <c r="L346" s="35"/>
      <c r="N346" s="41"/>
      <c r="O346" s="41"/>
      <c r="P346" s="41"/>
      <c r="Q346" s="41"/>
      <c r="R346" s="41"/>
    </row>
    <row r="347">
      <c r="C347" s="35"/>
      <c r="E347" s="35"/>
      <c r="G347" s="35"/>
      <c r="I347" s="35"/>
      <c r="K347" s="35"/>
      <c r="L347" s="35"/>
      <c r="N347" s="41"/>
      <c r="O347" s="41"/>
      <c r="P347" s="41"/>
      <c r="Q347" s="41"/>
      <c r="R347" s="41"/>
    </row>
    <row r="348">
      <c r="C348" s="35"/>
      <c r="E348" s="35"/>
      <c r="G348" s="35"/>
      <c r="I348" s="35"/>
      <c r="K348" s="35"/>
      <c r="L348" s="35"/>
      <c r="N348" s="41"/>
      <c r="O348" s="41"/>
      <c r="P348" s="41"/>
      <c r="Q348" s="41"/>
      <c r="R348" s="41"/>
    </row>
    <row r="349">
      <c r="C349" s="35"/>
      <c r="E349" s="35"/>
      <c r="G349" s="35"/>
      <c r="I349" s="35"/>
      <c r="K349" s="35"/>
      <c r="L349" s="35"/>
      <c r="N349" s="41"/>
      <c r="O349" s="41"/>
      <c r="P349" s="41"/>
      <c r="Q349" s="41"/>
      <c r="R349" s="41"/>
    </row>
    <row r="350">
      <c r="C350" s="35"/>
      <c r="E350" s="35"/>
      <c r="G350" s="35"/>
      <c r="I350" s="35"/>
      <c r="K350" s="35"/>
      <c r="L350" s="35"/>
      <c r="N350" s="41"/>
      <c r="O350" s="41"/>
      <c r="P350" s="41"/>
      <c r="Q350" s="41"/>
      <c r="R350" s="41"/>
    </row>
    <row r="351">
      <c r="C351" s="35"/>
      <c r="E351" s="35"/>
      <c r="G351" s="35"/>
      <c r="I351" s="35"/>
      <c r="K351" s="35"/>
      <c r="L351" s="35"/>
      <c r="N351" s="41"/>
      <c r="O351" s="41"/>
      <c r="P351" s="41"/>
      <c r="Q351" s="41"/>
      <c r="R351" s="41"/>
    </row>
    <row r="352">
      <c r="C352" s="35"/>
      <c r="E352" s="35"/>
      <c r="G352" s="35"/>
      <c r="I352" s="35"/>
      <c r="K352" s="35"/>
      <c r="L352" s="35"/>
      <c r="N352" s="41"/>
      <c r="O352" s="41"/>
      <c r="P352" s="41"/>
      <c r="Q352" s="41"/>
      <c r="R352" s="41"/>
    </row>
    <row r="353">
      <c r="C353" s="35"/>
      <c r="E353" s="35"/>
      <c r="G353" s="35"/>
      <c r="I353" s="35"/>
      <c r="K353" s="35"/>
      <c r="L353" s="35"/>
      <c r="N353" s="41"/>
      <c r="O353" s="41"/>
      <c r="P353" s="41"/>
      <c r="Q353" s="41"/>
      <c r="R353" s="41"/>
    </row>
    <row r="354">
      <c r="C354" s="35"/>
      <c r="E354" s="35"/>
      <c r="G354" s="35"/>
      <c r="I354" s="35"/>
      <c r="K354" s="35"/>
      <c r="L354" s="35"/>
      <c r="N354" s="41"/>
      <c r="O354" s="41"/>
      <c r="P354" s="41"/>
      <c r="Q354" s="41"/>
      <c r="R354" s="41"/>
    </row>
    <row r="355">
      <c r="C355" s="35"/>
      <c r="E355" s="35"/>
      <c r="G355" s="35"/>
      <c r="I355" s="35"/>
      <c r="K355" s="35"/>
      <c r="L355" s="35"/>
      <c r="N355" s="41"/>
      <c r="O355" s="41"/>
      <c r="P355" s="41"/>
      <c r="Q355" s="41"/>
      <c r="R355" s="41"/>
    </row>
    <row r="356">
      <c r="C356" s="35"/>
      <c r="E356" s="35"/>
      <c r="G356" s="35"/>
      <c r="I356" s="35"/>
      <c r="K356" s="35"/>
      <c r="L356" s="35"/>
      <c r="N356" s="41"/>
      <c r="O356" s="41"/>
      <c r="P356" s="41"/>
      <c r="Q356" s="41"/>
      <c r="R356" s="41"/>
    </row>
    <row r="357">
      <c r="C357" s="35"/>
      <c r="E357" s="35"/>
      <c r="G357" s="35"/>
      <c r="I357" s="35"/>
      <c r="K357" s="35"/>
      <c r="L357" s="35"/>
      <c r="N357" s="41"/>
      <c r="O357" s="41"/>
      <c r="P357" s="41"/>
      <c r="Q357" s="41"/>
      <c r="R357" s="41"/>
    </row>
    <row r="358">
      <c r="C358" s="35"/>
      <c r="E358" s="35"/>
      <c r="G358" s="35"/>
      <c r="I358" s="35"/>
      <c r="K358" s="35"/>
      <c r="L358" s="35"/>
      <c r="N358" s="41"/>
      <c r="O358" s="41"/>
      <c r="P358" s="41"/>
      <c r="Q358" s="41"/>
      <c r="R358" s="41"/>
    </row>
    <row r="359">
      <c r="C359" s="35"/>
      <c r="E359" s="35"/>
      <c r="G359" s="35"/>
      <c r="I359" s="35"/>
      <c r="K359" s="35"/>
      <c r="L359" s="35"/>
      <c r="N359" s="41"/>
      <c r="O359" s="41"/>
      <c r="P359" s="41"/>
      <c r="Q359" s="41"/>
      <c r="R359" s="41"/>
    </row>
    <row r="360">
      <c r="C360" s="35"/>
      <c r="E360" s="35"/>
      <c r="G360" s="35"/>
      <c r="I360" s="35"/>
      <c r="K360" s="35"/>
      <c r="L360" s="35"/>
      <c r="N360" s="41"/>
      <c r="O360" s="41"/>
      <c r="P360" s="41"/>
      <c r="Q360" s="41"/>
      <c r="R360" s="41"/>
    </row>
    <row r="361">
      <c r="C361" s="35"/>
      <c r="E361" s="35"/>
      <c r="G361" s="35"/>
      <c r="I361" s="35"/>
      <c r="K361" s="35"/>
      <c r="L361" s="35"/>
      <c r="N361" s="41"/>
      <c r="O361" s="41"/>
      <c r="P361" s="41"/>
      <c r="Q361" s="41"/>
      <c r="R361" s="41"/>
    </row>
    <row r="362">
      <c r="C362" s="35"/>
      <c r="E362" s="35"/>
      <c r="G362" s="35"/>
      <c r="I362" s="35"/>
      <c r="K362" s="35"/>
      <c r="L362" s="35"/>
      <c r="N362" s="41"/>
      <c r="O362" s="41"/>
      <c r="P362" s="41"/>
      <c r="Q362" s="41"/>
      <c r="R362" s="41"/>
    </row>
    <row r="363">
      <c r="C363" s="35"/>
      <c r="E363" s="35"/>
      <c r="G363" s="35"/>
      <c r="I363" s="35"/>
      <c r="K363" s="35"/>
      <c r="L363" s="35"/>
      <c r="N363" s="41"/>
      <c r="O363" s="41"/>
      <c r="P363" s="41"/>
      <c r="Q363" s="41"/>
      <c r="R363" s="41"/>
    </row>
    <row r="364">
      <c r="C364" s="35"/>
      <c r="E364" s="35"/>
      <c r="G364" s="35"/>
      <c r="I364" s="35"/>
      <c r="K364" s="35"/>
      <c r="L364" s="35"/>
      <c r="N364" s="41"/>
      <c r="O364" s="41"/>
      <c r="P364" s="41"/>
      <c r="Q364" s="41"/>
      <c r="R364" s="41"/>
    </row>
    <row r="365">
      <c r="C365" s="35"/>
      <c r="E365" s="35"/>
      <c r="G365" s="35"/>
      <c r="I365" s="35"/>
      <c r="K365" s="35"/>
      <c r="L365" s="35"/>
      <c r="N365" s="41"/>
      <c r="O365" s="41"/>
      <c r="P365" s="41"/>
      <c r="Q365" s="41"/>
      <c r="R365" s="41"/>
    </row>
    <row r="366">
      <c r="C366" s="35"/>
      <c r="E366" s="35"/>
      <c r="G366" s="35"/>
      <c r="I366" s="35"/>
      <c r="K366" s="35"/>
      <c r="L366" s="35"/>
      <c r="N366" s="41"/>
      <c r="O366" s="41"/>
      <c r="P366" s="41"/>
      <c r="Q366" s="41"/>
      <c r="R366" s="41"/>
    </row>
    <row r="367">
      <c r="C367" s="35"/>
      <c r="E367" s="35"/>
      <c r="G367" s="35"/>
      <c r="I367" s="35"/>
      <c r="K367" s="35"/>
      <c r="L367" s="35"/>
      <c r="N367" s="41"/>
      <c r="O367" s="41"/>
      <c r="P367" s="41"/>
      <c r="Q367" s="41"/>
      <c r="R367" s="41"/>
    </row>
    <row r="368">
      <c r="C368" s="35"/>
      <c r="E368" s="35"/>
      <c r="G368" s="35"/>
      <c r="I368" s="35"/>
      <c r="K368" s="35"/>
      <c r="L368" s="35"/>
      <c r="N368" s="41"/>
      <c r="O368" s="41"/>
      <c r="P368" s="41"/>
      <c r="Q368" s="41"/>
      <c r="R368" s="41"/>
    </row>
    <row r="369">
      <c r="C369" s="35"/>
      <c r="E369" s="35"/>
      <c r="G369" s="35"/>
      <c r="I369" s="35"/>
      <c r="K369" s="35"/>
      <c r="L369" s="35"/>
      <c r="N369" s="41"/>
      <c r="O369" s="41"/>
      <c r="P369" s="41"/>
      <c r="Q369" s="41"/>
      <c r="R369" s="41"/>
    </row>
    <row r="370">
      <c r="C370" s="35"/>
      <c r="E370" s="35"/>
      <c r="G370" s="35"/>
      <c r="I370" s="35"/>
      <c r="K370" s="35"/>
      <c r="L370" s="35"/>
      <c r="N370" s="41"/>
      <c r="O370" s="41"/>
      <c r="P370" s="41"/>
      <c r="Q370" s="41"/>
      <c r="R370" s="41"/>
    </row>
    <row r="371">
      <c r="C371" s="35"/>
      <c r="E371" s="35"/>
      <c r="G371" s="35"/>
      <c r="I371" s="35"/>
      <c r="K371" s="35"/>
      <c r="L371" s="35"/>
      <c r="N371" s="41"/>
      <c r="O371" s="41"/>
      <c r="P371" s="41"/>
      <c r="Q371" s="41"/>
      <c r="R371" s="41"/>
    </row>
    <row r="372">
      <c r="C372" s="35"/>
      <c r="E372" s="35"/>
      <c r="G372" s="35"/>
      <c r="I372" s="35"/>
      <c r="K372" s="35"/>
      <c r="L372" s="35"/>
      <c r="N372" s="41"/>
      <c r="O372" s="41"/>
      <c r="P372" s="41"/>
      <c r="Q372" s="41"/>
      <c r="R372" s="41"/>
    </row>
    <row r="373">
      <c r="C373" s="35"/>
      <c r="E373" s="35"/>
      <c r="G373" s="35"/>
      <c r="I373" s="35"/>
      <c r="K373" s="35"/>
      <c r="L373" s="35"/>
      <c r="N373" s="41"/>
      <c r="O373" s="41"/>
      <c r="P373" s="41"/>
      <c r="Q373" s="41"/>
      <c r="R373" s="41"/>
    </row>
    <row r="374">
      <c r="C374" s="35"/>
      <c r="E374" s="35"/>
      <c r="G374" s="35"/>
      <c r="I374" s="35"/>
      <c r="K374" s="35"/>
      <c r="L374" s="35"/>
      <c r="N374" s="41"/>
      <c r="O374" s="41"/>
      <c r="P374" s="41"/>
      <c r="Q374" s="41"/>
      <c r="R374" s="41"/>
    </row>
    <row r="375">
      <c r="C375" s="35"/>
      <c r="E375" s="35"/>
      <c r="G375" s="35"/>
      <c r="I375" s="35"/>
      <c r="K375" s="35"/>
      <c r="L375" s="35"/>
      <c r="N375" s="41"/>
      <c r="O375" s="41"/>
      <c r="P375" s="41"/>
      <c r="Q375" s="41"/>
      <c r="R375" s="41"/>
    </row>
    <row r="376">
      <c r="C376" s="35"/>
      <c r="E376" s="35"/>
      <c r="G376" s="35"/>
      <c r="I376" s="35"/>
      <c r="K376" s="35"/>
      <c r="L376" s="35"/>
      <c r="N376" s="41"/>
      <c r="O376" s="41"/>
      <c r="P376" s="41"/>
      <c r="Q376" s="41"/>
      <c r="R376" s="41"/>
    </row>
    <row r="377">
      <c r="C377" s="35"/>
      <c r="E377" s="35"/>
      <c r="G377" s="35"/>
      <c r="I377" s="35"/>
      <c r="K377" s="35"/>
      <c r="L377" s="35"/>
      <c r="N377" s="41"/>
      <c r="O377" s="41"/>
      <c r="P377" s="41"/>
      <c r="Q377" s="41"/>
      <c r="R377" s="41"/>
    </row>
    <row r="378">
      <c r="C378" s="35"/>
      <c r="E378" s="35"/>
      <c r="G378" s="35"/>
      <c r="I378" s="35"/>
      <c r="K378" s="35"/>
      <c r="L378" s="35"/>
      <c r="N378" s="41"/>
      <c r="O378" s="41"/>
      <c r="P378" s="41"/>
      <c r="Q378" s="41"/>
      <c r="R378" s="41"/>
    </row>
    <row r="379">
      <c r="C379" s="35"/>
      <c r="E379" s="35"/>
      <c r="G379" s="35"/>
      <c r="I379" s="35"/>
      <c r="K379" s="35"/>
      <c r="L379" s="35"/>
      <c r="N379" s="41"/>
      <c r="O379" s="41"/>
      <c r="P379" s="41"/>
      <c r="Q379" s="41"/>
      <c r="R379" s="41"/>
    </row>
    <row r="380">
      <c r="C380" s="35"/>
      <c r="E380" s="35"/>
      <c r="G380" s="35"/>
      <c r="I380" s="35"/>
      <c r="K380" s="35"/>
      <c r="L380" s="35"/>
      <c r="N380" s="41"/>
      <c r="O380" s="41"/>
      <c r="P380" s="41"/>
      <c r="Q380" s="41"/>
      <c r="R380" s="41"/>
    </row>
    <row r="381">
      <c r="C381" s="35"/>
      <c r="E381" s="35"/>
      <c r="G381" s="35"/>
      <c r="I381" s="35"/>
      <c r="K381" s="35"/>
      <c r="L381" s="35"/>
      <c r="N381" s="41"/>
      <c r="O381" s="41"/>
      <c r="P381" s="41"/>
      <c r="Q381" s="41"/>
      <c r="R381" s="41"/>
    </row>
    <row r="382">
      <c r="C382" s="35"/>
      <c r="E382" s="35"/>
      <c r="G382" s="35"/>
      <c r="I382" s="35"/>
      <c r="K382" s="35"/>
      <c r="L382" s="35"/>
      <c r="N382" s="41"/>
      <c r="O382" s="41"/>
      <c r="P382" s="41"/>
      <c r="Q382" s="41"/>
      <c r="R382" s="41"/>
    </row>
    <row r="383">
      <c r="C383" s="35"/>
      <c r="E383" s="35"/>
      <c r="G383" s="35"/>
      <c r="I383" s="35"/>
      <c r="K383" s="35"/>
      <c r="L383" s="35"/>
      <c r="N383" s="41"/>
      <c r="O383" s="41"/>
      <c r="P383" s="41"/>
      <c r="Q383" s="41"/>
      <c r="R383" s="41"/>
    </row>
    <row r="384">
      <c r="C384" s="35"/>
      <c r="E384" s="35"/>
      <c r="G384" s="35"/>
      <c r="I384" s="35"/>
      <c r="K384" s="35"/>
      <c r="L384" s="35"/>
      <c r="N384" s="41"/>
      <c r="O384" s="41"/>
      <c r="P384" s="41"/>
      <c r="Q384" s="41"/>
      <c r="R384" s="41"/>
    </row>
    <row r="385">
      <c r="C385" s="35"/>
      <c r="E385" s="35"/>
      <c r="G385" s="35"/>
      <c r="I385" s="35"/>
      <c r="K385" s="35"/>
      <c r="L385" s="35"/>
      <c r="N385" s="41"/>
      <c r="O385" s="41"/>
      <c r="P385" s="41"/>
      <c r="Q385" s="41"/>
      <c r="R385" s="41"/>
    </row>
    <row r="386">
      <c r="C386" s="35"/>
      <c r="E386" s="35"/>
      <c r="G386" s="35"/>
      <c r="I386" s="35"/>
      <c r="K386" s="35"/>
      <c r="L386" s="35"/>
      <c r="N386" s="41"/>
      <c r="O386" s="41"/>
      <c r="P386" s="41"/>
      <c r="Q386" s="41"/>
      <c r="R386" s="41"/>
    </row>
    <row r="387">
      <c r="C387" s="35"/>
      <c r="E387" s="35"/>
      <c r="G387" s="35"/>
      <c r="I387" s="35"/>
      <c r="K387" s="35"/>
      <c r="L387" s="35"/>
      <c r="N387" s="41"/>
      <c r="O387" s="41"/>
      <c r="P387" s="41"/>
      <c r="Q387" s="41"/>
      <c r="R387" s="41"/>
    </row>
    <row r="388">
      <c r="C388" s="35"/>
      <c r="E388" s="35"/>
      <c r="G388" s="35"/>
      <c r="I388" s="35"/>
      <c r="K388" s="35"/>
      <c r="L388" s="35"/>
      <c r="N388" s="41"/>
      <c r="O388" s="41"/>
      <c r="P388" s="41"/>
      <c r="Q388" s="41"/>
      <c r="R388" s="41"/>
    </row>
    <row r="389">
      <c r="C389" s="35"/>
      <c r="E389" s="35"/>
      <c r="G389" s="35"/>
      <c r="I389" s="35"/>
      <c r="K389" s="35"/>
      <c r="L389" s="35"/>
      <c r="N389" s="41"/>
      <c r="O389" s="41"/>
      <c r="P389" s="41"/>
      <c r="Q389" s="41"/>
      <c r="R389" s="41"/>
    </row>
    <row r="390">
      <c r="C390" s="35"/>
      <c r="E390" s="35"/>
      <c r="G390" s="35"/>
      <c r="I390" s="35"/>
      <c r="K390" s="35"/>
      <c r="L390" s="35"/>
      <c r="N390" s="41"/>
      <c r="O390" s="41"/>
      <c r="P390" s="41"/>
      <c r="Q390" s="41"/>
      <c r="R390" s="41"/>
    </row>
    <row r="391">
      <c r="C391" s="35"/>
      <c r="E391" s="35"/>
      <c r="G391" s="35"/>
      <c r="I391" s="35"/>
      <c r="K391" s="35"/>
      <c r="L391" s="35"/>
      <c r="N391" s="41"/>
      <c r="O391" s="41"/>
      <c r="P391" s="41"/>
      <c r="Q391" s="41"/>
      <c r="R391" s="41"/>
    </row>
    <row r="392">
      <c r="C392" s="35"/>
      <c r="E392" s="35"/>
      <c r="G392" s="35"/>
      <c r="I392" s="35"/>
      <c r="K392" s="35"/>
      <c r="L392" s="35"/>
      <c r="N392" s="41"/>
      <c r="O392" s="41"/>
      <c r="P392" s="41"/>
      <c r="Q392" s="41"/>
      <c r="R392" s="41"/>
    </row>
    <row r="393">
      <c r="C393" s="35"/>
      <c r="E393" s="35"/>
      <c r="G393" s="35"/>
      <c r="I393" s="35"/>
      <c r="K393" s="35"/>
      <c r="L393" s="35"/>
      <c r="N393" s="41"/>
      <c r="O393" s="41"/>
      <c r="P393" s="41"/>
      <c r="Q393" s="41"/>
      <c r="R393" s="41"/>
    </row>
    <row r="394">
      <c r="C394" s="35"/>
      <c r="E394" s="35"/>
      <c r="G394" s="35"/>
      <c r="I394" s="35"/>
      <c r="K394" s="35"/>
      <c r="L394" s="35"/>
      <c r="N394" s="41"/>
      <c r="O394" s="41"/>
      <c r="P394" s="41"/>
      <c r="Q394" s="41"/>
      <c r="R394" s="41"/>
    </row>
    <row r="395">
      <c r="C395" s="35"/>
      <c r="E395" s="35"/>
      <c r="G395" s="35"/>
      <c r="I395" s="35"/>
      <c r="K395" s="35"/>
      <c r="L395" s="35"/>
      <c r="N395" s="41"/>
      <c r="O395" s="41"/>
      <c r="P395" s="41"/>
      <c r="Q395" s="41"/>
      <c r="R395" s="41"/>
    </row>
    <row r="396">
      <c r="C396" s="35"/>
      <c r="E396" s="35"/>
      <c r="G396" s="35"/>
      <c r="I396" s="35"/>
      <c r="K396" s="35"/>
      <c r="L396" s="35"/>
      <c r="N396" s="41"/>
      <c r="O396" s="41"/>
      <c r="P396" s="41"/>
      <c r="Q396" s="41"/>
      <c r="R396" s="41"/>
    </row>
    <row r="397">
      <c r="C397" s="35"/>
      <c r="E397" s="35"/>
      <c r="G397" s="35"/>
      <c r="I397" s="35"/>
      <c r="K397" s="35"/>
      <c r="L397" s="35"/>
      <c r="N397" s="41"/>
      <c r="O397" s="41"/>
      <c r="P397" s="41"/>
      <c r="Q397" s="41"/>
      <c r="R397" s="41"/>
    </row>
    <row r="398">
      <c r="C398" s="35"/>
      <c r="E398" s="35"/>
      <c r="G398" s="35"/>
      <c r="I398" s="35"/>
      <c r="K398" s="35"/>
      <c r="L398" s="35"/>
      <c r="N398" s="41"/>
      <c r="O398" s="41"/>
      <c r="P398" s="41"/>
      <c r="Q398" s="41"/>
      <c r="R398" s="41"/>
    </row>
    <row r="399">
      <c r="C399" s="35"/>
      <c r="E399" s="35"/>
      <c r="G399" s="35"/>
      <c r="I399" s="35"/>
      <c r="K399" s="35"/>
      <c r="L399" s="35"/>
      <c r="N399" s="41"/>
      <c r="O399" s="41"/>
      <c r="P399" s="41"/>
      <c r="Q399" s="41"/>
      <c r="R399" s="41"/>
    </row>
    <row r="400">
      <c r="C400" s="35"/>
      <c r="E400" s="35"/>
      <c r="G400" s="35"/>
      <c r="I400" s="35"/>
      <c r="K400" s="35"/>
      <c r="L400" s="35"/>
      <c r="N400" s="41"/>
      <c r="O400" s="41"/>
      <c r="P400" s="41"/>
      <c r="Q400" s="41"/>
      <c r="R400" s="41"/>
    </row>
    <row r="401">
      <c r="C401" s="35"/>
      <c r="E401" s="35"/>
      <c r="G401" s="35"/>
      <c r="I401" s="35"/>
      <c r="K401" s="35"/>
      <c r="L401" s="35"/>
      <c r="N401" s="41"/>
      <c r="O401" s="41"/>
      <c r="P401" s="41"/>
      <c r="Q401" s="41"/>
      <c r="R401" s="41"/>
    </row>
    <row r="402">
      <c r="C402" s="35"/>
      <c r="E402" s="35"/>
      <c r="G402" s="35"/>
      <c r="I402" s="35"/>
      <c r="K402" s="35"/>
      <c r="L402" s="35"/>
      <c r="N402" s="41"/>
      <c r="O402" s="41"/>
      <c r="P402" s="41"/>
      <c r="Q402" s="41"/>
      <c r="R402" s="41"/>
    </row>
    <row r="403">
      <c r="C403" s="35"/>
      <c r="E403" s="35"/>
      <c r="G403" s="35"/>
      <c r="I403" s="35"/>
      <c r="K403" s="35"/>
      <c r="L403" s="35"/>
      <c r="N403" s="41"/>
      <c r="O403" s="41"/>
      <c r="P403" s="41"/>
      <c r="Q403" s="41"/>
      <c r="R403" s="41"/>
    </row>
    <row r="404">
      <c r="C404" s="35"/>
      <c r="E404" s="35"/>
      <c r="G404" s="35"/>
      <c r="I404" s="35"/>
      <c r="K404" s="35"/>
      <c r="L404" s="35"/>
      <c r="N404" s="41"/>
      <c r="O404" s="41"/>
      <c r="P404" s="41"/>
      <c r="Q404" s="41"/>
      <c r="R404" s="41"/>
    </row>
    <row r="405">
      <c r="C405" s="35"/>
      <c r="E405" s="35"/>
      <c r="G405" s="35"/>
      <c r="I405" s="35"/>
      <c r="K405" s="35"/>
      <c r="L405" s="35"/>
      <c r="N405" s="41"/>
      <c r="O405" s="41"/>
      <c r="P405" s="41"/>
      <c r="Q405" s="41"/>
      <c r="R405" s="41"/>
    </row>
    <row r="406">
      <c r="C406" s="35"/>
      <c r="E406" s="35"/>
      <c r="G406" s="35"/>
      <c r="I406" s="35"/>
      <c r="K406" s="35"/>
      <c r="L406" s="35"/>
      <c r="N406" s="41"/>
      <c r="O406" s="41"/>
      <c r="P406" s="41"/>
      <c r="Q406" s="41"/>
      <c r="R406" s="41"/>
    </row>
    <row r="407">
      <c r="C407" s="35"/>
      <c r="E407" s="35"/>
      <c r="G407" s="35"/>
      <c r="I407" s="35"/>
      <c r="K407" s="35"/>
      <c r="L407" s="35"/>
      <c r="N407" s="41"/>
      <c r="O407" s="41"/>
      <c r="P407" s="41"/>
      <c r="Q407" s="41"/>
      <c r="R407" s="41"/>
    </row>
    <row r="408">
      <c r="C408" s="35"/>
      <c r="E408" s="35"/>
      <c r="G408" s="35"/>
      <c r="I408" s="35"/>
      <c r="K408" s="35"/>
      <c r="L408" s="35"/>
      <c r="N408" s="41"/>
      <c r="O408" s="41"/>
      <c r="P408" s="41"/>
      <c r="Q408" s="41"/>
      <c r="R408" s="41"/>
    </row>
    <row r="409">
      <c r="C409" s="35"/>
      <c r="E409" s="35"/>
      <c r="G409" s="35"/>
      <c r="I409" s="35"/>
      <c r="K409" s="35"/>
      <c r="L409" s="35"/>
      <c r="N409" s="41"/>
      <c r="O409" s="41"/>
      <c r="P409" s="41"/>
      <c r="Q409" s="41"/>
      <c r="R409" s="41"/>
    </row>
    <row r="410">
      <c r="C410" s="35"/>
      <c r="E410" s="35"/>
      <c r="G410" s="35"/>
      <c r="I410" s="35"/>
      <c r="K410" s="35"/>
      <c r="L410" s="35"/>
      <c r="N410" s="41"/>
      <c r="O410" s="41"/>
      <c r="P410" s="41"/>
      <c r="Q410" s="41"/>
      <c r="R410" s="41"/>
    </row>
    <row r="411">
      <c r="C411" s="35"/>
      <c r="E411" s="35"/>
      <c r="G411" s="35"/>
      <c r="I411" s="35"/>
      <c r="K411" s="35"/>
      <c r="L411" s="35"/>
      <c r="N411" s="41"/>
      <c r="O411" s="41"/>
      <c r="P411" s="41"/>
      <c r="Q411" s="41"/>
      <c r="R411" s="41"/>
    </row>
    <row r="412">
      <c r="C412" s="35"/>
      <c r="E412" s="35"/>
      <c r="G412" s="35"/>
      <c r="I412" s="35"/>
      <c r="K412" s="35"/>
      <c r="L412" s="35"/>
      <c r="N412" s="41"/>
      <c r="O412" s="41"/>
      <c r="P412" s="41"/>
      <c r="Q412" s="41"/>
      <c r="R412" s="41"/>
    </row>
    <row r="413">
      <c r="C413" s="35"/>
      <c r="E413" s="35"/>
      <c r="G413" s="35"/>
      <c r="I413" s="35"/>
      <c r="K413" s="35"/>
      <c r="L413" s="35"/>
      <c r="N413" s="41"/>
      <c r="O413" s="41"/>
      <c r="P413" s="41"/>
      <c r="Q413" s="41"/>
      <c r="R413" s="41"/>
    </row>
    <row r="414">
      <c r="C414" s="35"/>
      <c r="E414" s="35"/>
      <c r="G414" s="35"/>
      <c r="I414" s="35"/>
      <c r="K414" s="35"/>
      <c r="L414" s="35"/>
      <c r="N414" s="41"/>
      <c r="O414" s="41"/>
      <c r="P414" s="41"/>
      <c r="Q414" s="41"/>
      <c r="R414" s="41"/>
    </row>
    <row r="415">
      <c r="C415" s="35"/>
      <c r="E415" s="35"/>
      <c r="G415" s="35"/>
      <c r="I415" s="35"/>
      <c r="K415" s="35"/>
      <c r="L415" s="35"/>
      <c r="N415" s="41"/>
      <c r="O415" s="41"/>
      <c r="P415" s="41"/>
      <c r="Q415" s="41"/>
      <c r="R415" s="41"/>
    </row>
    <row r="416">
      <c r="C416" s="35"/>
      <c r="E416" s="35"/>
      <c r="G416" s="35"/>
      <c r="I416" s="35"/>
      <c r="K416" s="35"/>
      <c r="L416" s="35"/>
      <c r="N416" s="41"/>
      <c r="O416" s="41"/>
      <c r="P416" s="41"/>
      <c r="Q416" s="41"/>
      <c r="R416" s="41"/>
    </row>
    <row r="417">
      <c r="C417" s="35"/>
      <c r="E417" s="35"/>
      <c r="G417" s="35"/>
      <c r="I417" s="35"/>
      <c r="K417" s="35"/>
      <c r="L417" s="35"/>
      <c r="N417" s="41"/>
      <c r="O417" s="41"/>
      <c r="P417" s="41"/>
      <c r="Q417" s="41"/>
      <c r="R417" s="41"/>
    </row>
    <row r="418">
      <c r="C418" s="35"/>
      <c r="E418" s="35"/>
      <c r="G418" s="35"/>
      <c r="I418" s="35"/>
      <c r="K418" s="35"/>
      <c r="L418" s="35"/>
      <c r="N418" s="41"/>
      <c r="O418" s="41"/>
      <c r="P418" s="41"/>
      <c r="Q418" s="41"/>
      <c r="R418" s="41"/>
    </row>
    <row r="419">
      <c r="C419" s="35"/>
      <c r="E419" s="35"/>
      <c r="G419" s="35"/>
      <c r="I419" s="35"/>
      <c r="K419" s="35"/>
      <c r="L419" s="35"/>
      <c r="N419" s="41"/>
      <c r="O419" s="41"/>
      <c r="P419" s="41"/>
      <c r="Q419" s="41"/>
      <c r="R419" s="41"/>
    </row>
    <row r="420">
      <c r="C420" s="35"/>
      <c r="E420" s="35"/>
      <c r="G420" s="35"/>
      <c r="I420" s="35"/>
      <c r="K420" s="35"/>
      <c r="L420" s="35"/>
      <c r="N420" s="41"/>
      <c r="O420" s="41"/>
      <c r="P420" s="41"/>
      <c r="Q420" s="41"/>
      <c r="R420" s="41"/>
    </row>
    <row r="421">
      <c r="C421" s="35"/>
      <c r="E421" s="35"/>
      <c r="G421" s="35"/>
      <c r="I421" s="35"/>
      <c r="K421" s="35"/>
      <c r="L421" s="35"/>
      <c r="N421" s="41"/>
      <c r="O421" s="41"/>
      <c r="P421" s="41"/>
      <c r="Q421" s="41"/>
      <c r="R421" s="41"/>
    </row>
    <row r="422">
      <c r="C422" s="35"/>
      <c r="E422" s="35"/>
      <c r="G422" s="35"/>
      <c r="I422" s="35"/>
      <c r="K422" s="35"/>
      <c r="L422" s="35"/>
      <c r="N422" s="41"/>
      <c r="O422" s="41"/>
      <c r="P422" s="41"/>
      <c r="Q422" s="41"/>
      <c r="R422" s="41"/>
    </row>
    <row r="423">
      <c r="C423" s="35"/>
      <c r="E423" s="35"/>
      <c r="G423" s="35"/>
      <c r="I423" s="35"/>
      <c r="K423" s="35"/>
      <c r="L423" s="35"/>
      <c r="N423" s="41"/>
      <c r="O423" s="41"/>
      <c r="P423" s="41"/>
      <c r="Q423" s="41"/>
      <c r="R423" s="41"/>
    </row>
    <row r="424">
      <c r="C424" s="35"/>
      <c r="E424" s="35"/>
      <c r="G424" s="35"/>
      <c r="I424" s="35"/>
      <c r="K424" s="35"/>
      <c r="L424" s="35"/>
      <c r="N424" s="41"/>
      <c r="O424" s="41"/>
      <c r="P424" s="41"/>
      <c r="Q424" s="41"/>
      <c r="R424" s="41"/>
    </row>
    <row r="425">
      <c r="C425" s="35"/>
      <c r="E425" s="35"/>
      <c r="G425" s="35"/>
      <c r="I425" s="35"/>
      <c r="K425" s="35"/>
      <c r="L425" s="35"/>
      <c r="N425" s="41"/>
      <c r="O425" s="41"/>
      <c r="P425" s="41"/>
      <c r="Q425" s="41"/>
      <c r="R425" s="41"/>
    </row>
    <row r="426">
      <c r="C426" s="35"/>
      <c r="E426" s="35"/>
      <c r="G426" s="35"/>
      <c r="I426" s="35"/>
      <c r="K426" s="35"/>
      <c r="L426" s="35"/>
      <c r="N426" s="41"/>
      <c r="O426" s="41"/>
      <c r="P426" s="41"/>
      <c r="Q426" s="41"/>
      <c r="R426" s="41"/>
    </row>
    <row r="427">
      <c r="C427" s="35"/>
      <c r="E427" s="35"/>
      <c r="G427" s="35"/>
      <c r="I427" s="35"/>
      <c r="K427" s="35"/>
      <c r="L427" s="35"/>
      <c r="N427" s="41"/>
      <c r="O427" s="41"/>
      <c r="P427" s="41"/>
      <c r="Q427" s="41"/>
      <c r="R427" s="41"/>
    </row>
    <row r="428">
      <c r="C428" s="35"/>
      <c r="E428" s="35"/>
      <c r="G428" s="35"/>
      <c r="I428" s="35"/>
      <c r="K428" s="35"/>
      <c r="L428" s="35"/>
      <c r="N428" s="41"/>
      <c r="O428" s="41"/>
      <c r="P428" s="41"/>
      <c r="Q428" s="41"/>
      <c r="R428" s="41"/>
    </row>
    <row r="429">
      <c r="C429" s="35"/>
      <c r="E429" s="35"/>
      <c r="G429" s="35"/>
      <c r="I429" s="35"/>
      <c r="K429" s="35"/>
      <c r="L429" s="35"/>
      <c r="N429" s="41"/>
      <c r="O429" s="41"/>
      <c r="P429" s="41"/>
      <c r="Q429" s="41"/>
      <c r="R429" s="41"/>
    </row>
    <row r="430">
      <c r="C430" s="35"/>
      <c r="E430" s="35"/>
      <c r="G430" s="35"/>
      <c r="I430" s="35"/>
      <c r="K430" s="35"/>
      <c r="L430" s="35"/>
      <c r="N430" s="41"/>
      <c r="O430" s="41"/>
      <c r="P430" s="41"/>
      <c r="Q430" s="41"/>
      <c r="R430" s="41"/>
    </row>
    <row r="431">
      <c r="C431" s="35"/>
      <c r="E431" s="35"/>
      <c r="G431" s="35"/>
      <c r="I431" s="35"/>
      <c r="K431" s="35"/>
      <c r="L431" s="35"/>
      <c r="N431" s="41"/>
      <c r="O431" s="41"/>
      <c r="P431" s="41"/>
      <c r="Q431" s="41"/>
      <c r="R431" s="41"/>
    </row>
    <row r="432">
      <c r="C432" s="35"/>
      <c r="E432" s="35"/>
      <c r="G432" s="35"/>
      <c r="I432" s="35"/>
      <c r="K432" s="35"/>
      <c r="L432" s="35"/>
      <c r="N432" s="41"/>
      <c r="O432" s="41"/>
      <c r="P432" s="41"/>
      <c r="Q432" s="41"/>
      <c r="R432" s="41"/>
    </row>
    <row r="433">
      <c r="C433" s="35"/>
      <c r="E433" s="35"/>
      <c r="G433" s="35"/>
      <c r="I433" s="35"/>
      <c r="K433" s="35"/>
      <c r="L433" s="35"/>
      <c r="N433" s="41"/>
      <c r="O433" s="41"/>
      <c r="P433" s="41"/>
      <c r="Q433" s="41"/>
      <c r="R433" s="41"/>
    </row>
    <row r="434">
      <c r="C434" s="35"/>
      <c r="E434" s="35"/>
      <c r="G434" s="35"/>
      <c r="I434" s="35"/>
      <c r="K434" s="35"/>
      <c r="L434" s="35"/>
      <c r="N434" s="41"/>
      <c r="O434" s="41"/>
      <c r="P434" s="41"/>
      <c r="Q434" s="41"/>
      <c r="R434" s="41"/>
    </row>
    <row r="435">
      <c r="C435" s="35"/>
      <c r="E435" s="35"/>
      <c r="G435" s="35"/>
      <c r="I435" s="35"/>
      <c r="K435" s="35"/>
      <c r="L435" s="35"/>
      <c r="N435" s="41"/>
      <c r="O435" s="41"/>
      <c r="P435" s="41"/>
      <c r="Q435" s="41"/>
      <c r="R435" s="41"/>
    </row>
    <row r="436">
      <c r="C436" s="35"/>
      <c r="E436" s="35"/>
      <c r="G436" s="35"/>
      <c r="I436" s="35"/>
      <c r="K436" s="35"/>
      <c r="L436" s="35"/>
      <c r="N436" s="41"/>
      <c r="O436" s="41"/>
      <c r="P436" s="41"/>
      <c r="Q436" s="41"/>
      <c r="R436" s="41"/>
    </row>
    <row r="437">
      <c r="C437" s="35"/>
      <c r="E437" s="35"/>
      <c r="G437" s="35"/>
      <c r="I437" s="35"/>
      <c r="K437" s="35"/>
      <c r="L437" s="35"/>
      <c r="N437" s="41"/>
      <c r="O437" s="41"/>
      <c r="P437" s="41"/>
      <c r="Q437" s="41"/>
      <c r="R437" s="41"/>
    </row>
    <row r="438">
      <c r="C438" s="35"/>
      <c r="E438" s="35"/>
      <c r="G438" s="35"/>
      <c r="I438" s="35"/>
      <c r="K438" s="35"/>
      <c r="L438" s="35"/>
      <c r="N438" s="41"/>
      <c r="O438" s="41"/>
      <c r="P438" s="41"/>
      <c r="Q438" s="41"/>
      <c r="R438" s="41"/>
    </row>
    <row r="439">
      <c r="C439" s="35"/>
      <c r="E439" s="35"/>
      <c r="G439" s="35"/>
      <c r="I439" s="35"/>
      <c r="K439" s="35"/>
      <c r="L439" s="35"/>
      <c r="N439" s="41"/>
      <c r="O439" s="41"/>
      <c r="P439" s="41"/>
      <c r="Q439" s="41"/>
      <c r="R439" s="41"/>
    </row>
    <row r="440">
      <c r="C440" s="35"/>
      <c r="E440" s="35"/>
      <c r="G440" s="35"/>
      <c r="I440" s="35"/>
      <c r="K440" s="35"/>
      <c r="L440" s="35"/>
      <c r="N440" s="41"/>
      <c r="O440" s="41"/>
      <c r="P440" s="41"/>
      <c r="Q440" s="41"/>
      <c r="R440" s="41"/>
    </row>
    <row r="441">
      <c r="C441" s="35"/>
      <c r="E441" s="35"/>
      <c r="G441" s="35"/>
      <c r="I441" s="35"/>
      <c r="K441" s="35"/>
      <c r="L441" s="35"/>
      <c r="N441" s="41"/>
      <c r="O441" s="41"/>
      <c r="P441" s="41"/>
      <c r="Q441" s="41"/>
      <c r="R441" s="41"/>
    </row>
    <row r="442">
      <c r="C442" s="35"/>
      <c r="E442" s="35"/>
      <c r="G442" s="35"/>
      <c r="I442" s="35"/>
      <c r="K442" s="35"/>
      <c r="L442" s="35"/>
      <c r="N442" s="41"/>
      <c r="O442" s="41"/>
      <c r="P442" s="41"/>
      <c r="Q442" s="41"/>
      <c r="R442" s="41"/>
    </row>
    <row r="443">
      <c r="C443" s="35"/>
      <c r="E443" s="35"/>
      <c r="G443" s="35"/>
      <c r="I443" s="35"/>
      <c r="K443" s="35"/>
      <c r="L443" s="35"/>
      <c r="N443" s="41"/>
      <c r="O443" s="41"/>
      <c r="P443" s="41"/>
      <c r="Q443" s="41"/>
      <c r="R443" s="41"/>
    </row>
    <row r="444">
      <c r="C444" s="35"/>
      <c r="E444" s="35"/>
      <c r="G444" s="35"/>
      <c r="I444" s="35"/>
      <c r="K444" s="35"/>
      <c r="L444" s="35"/>
      <c r="N444" s="41"/>
      <c r="O444" s="41"/>
      <c r="P444" s="41"/>
      <c r="Q444" s="41"/>
      <c r="R444" s="41"/>
    </row>
    <row r="445">
      <c r="C445" s="35"/>
      <c r="E445" s="35"/>
      <c r="G445" s="35"/>
      <c r="I445" s="35"/>
      <c r="K445" s="35"/>
      <c r="L445" s="35"/>
      <c r="N445" s="41"/>
      <c r="O445" s="41"/>
      <c r="P445" s="41"/>
      <c r="Q445" s="41"/>
      <c r="R445" s="41"/>
    </row>
    <row r="446">
      <c r="C446" s="35"/>
      <c r="E446" s="35"/>
      <c r="G446" s="35"/>
      <c r="I446" s="35"/>
      <c r="K446" s="35"/>
      <c r="L446" s="35"/>
      <c r="N446" s="41"/>
      <c r="O446" s="41"/>
      <c r="P446" s="41"/>
      <c r="Q446" s="41"/>
      <c r="R446" s="41"/>
    </row>
    <row r="447">
      <c r="C447" s="35"/>
      <c r="E447" s="35"/>
      <c r="G447" s="35"/>
      <c r="I447" s="35"/>
      <c r="K447" s="35"/>
      <c r="L447" s="35"/>
      <c r="N447" s="41"/>
      <c r="O447" s="41"/>
      <c r="P447" s="41"/>
      <c r="Q447" s="41"/>
      <c r="R447" s="41"/>
    </row>
    <row r="448">
      <c r="C448" s="35"/>
      <c r="E448" s="35"/>
      <c r="G448" s="35"/>
      <c r="I448" s="35"/>
      <c r="K448" s="35"/>
      <c r="L448" s="35"/>
      <c r="N448" s="41"/>
      <c r="O448" s="41"/>
      <c r="P448" s="41"/>
      <c r="Q448" s="41"/>
      <c r="R448" s="41"/>
    </row>
    <row r="449">
      <c r="C449" s="35"/>
      <c r="E449" s="35"/>
      <c r="G449" s="35"/>
      <c r="I449" s="35"/>
      <c r="K449" s="35"/>
      <c r="L449" s="35"/>
      <c r="N449" s="41"/>
      <c r="O449" s="41"/>
      <c r="P449" s="41"/>
      <c r="Q449" s="41"/>
      <c r="R449" s="41"/>
    </row>
    <row r="450">
      <c r="C450" s="35"/>
      <c r="E450" s="35"/>
      <c r="G450" s="35"/>
      <c r="I450" s="35"/>
      <c r="K450" s="35"/>
      <c r="L450" s="35"/>
      <c r="N450" s="41"/>
      <c r="O450" s="41"/>
      <c r="P450" s="41"/>
      <c r="Q450" s="41"/>
      <c r="R450" s="41"/>
    </row>
    <row r="451">
      <c r="C451" s="35"/>
      <c r="E451" s="35"/>
      <c r="G451" s="35"/>
      <c r="I451" s="35"/>
      <c r="K451" s="35"/>
      <c r="L451" s="35"/>
      <c r="N451" s="41"/>
      <c r="O451" s="41"/>
      <c r="P451" s="41"/>
      <c r="Q451" s="41"/>
      <c r="R451" s="41"/>
    </row>
    <row r="452">
      <c r="C452" s="35"/>
      <c r="E452" s="35"/>
      <c r="G452" s="35"/>
      <c r="I452" s="35"/>
      <c r="K452" s="35"/>
      <c r="L452" s="35"/>
      <c r="N452" s="41"/>
      <c r="O452" s="41"/>
      <c r="P452" s="41"/>
      <c r="Q452" s="41"/>
      <c r="R452" s="41"/>
    </row>
    <row r="453">
      <c r="C453" s="35"/>
      <c r="E453" s="35"/>
      <c r="G453" s="35"/>
      <c r="I453" s="35"/>
      <c r="K453" s="35"/>
      <c r="L453" s="35"/>
      <c r="N453" s="41"/>
      <c r="O453" s="41"/>
      <c r="P453" s="41"/>
      <c r="Q453" s="41"/>
      <c r="R453" s="41"/>
    </row>
    <row r="454">
      <c r="C454" s="35"/>
      <c r="E454" s="35"/>
      <c r="G454" s="35"/>
      <c r="I454" s="35"/>
      <c r="K454" s="35"/>
      <c r="L454" s="35"/>
      <c r="N454" s="41"/>
      <c r="O454" s="41"/>
      <c r="P454" s="41"/>
      <c r="Q454" s="41"/>
      <c r="R454" s="41"/>
    </row>
    <row r="455">
      <c r="C455" s="35"/>
      <c r="E455" s="35"/>
      <c r="G455" s="35"/>
      <c r="I455" s="35"/>
      <c r="K455" s="35"/>
      <c r="L455" s="35"/>
      <c r="N455" s="41"/>
      <c r="O455" s="41"/>
      <c r="P455" s="41"/>
      <c r="Q455" s="41"/>
      <c r="R455" s="41"/>
    </row>
    <row r="456">
      <c r="C456" s="35"/>
      <c r="E456" s="35"/>
      <c r="G456" s="35"/>
      <c r="I456" s="35"/>
      <c r="K456" s="35"/>
      <c r="L456" s="35"/>
      <c r="N456" s="41"/>
      <c r="O456" s="41"/>
      <c r="P456" s="41"/>
      <c r="Q456" s="41"/>
      <c r="R456" s="41"/>
    </row>
    <row r="457">
      <c r="C457" s="35"/>
      <c r="E457" s="35"/>
      <c r="G457" s="35"/>
      <c r="I457" s="35"/>
      <c r="K457" s="35"/>
      <c r="L457" s="35"/>
      <c r="N457" s="41"/>
      <c r="O457" s="41"/>
      <c r="P457" s="41"/>
      <c r="Q457" s="41"/>
      <c r="R457" s="41"/>
    </row>
    <row r="458">
      <c r="C458" s="35"/>
      <c r="E458" s="35"/>
      <c r="G458" s="35"/>
      <c r="I458" s="35"/>
      <c r="K458" s="35"/>
      <c r="L458" s="35"/>
      <c r="N458" s="41"/>
      <c r="O458" s="41"/>
      <c r="P458" s="41"/>
      <c r="Q458" s="41"/>
      <c r="R458" s="41"/>
    </row>
    <row r="459">
      <c r="C459" s="35"/>
      <c r="E459" s="35"/>
      <c r="G459" s="35"/>
      <c r="I459" s="35"/>
      <c r="K459" s="35"/>
      <c r="L459" s="35"/>
      <c r="N459" s="41"/>
      <c r="O459" s="41"/>
      <c r="P459" s="41"/>
      <c r="Q459" s="41"/>
      <c r="R459" s="41"/>
    </row>
    <row r="460">
      <c r="C460" s="35"/>
      <c r="E460" s="35"/>
      <c r="G460" s="35"/>
      <c r="I460" s="35"/>
      <c r="K460" s="35"/>
      <c r="L460" s="35"/>
      <c r="N460" s="41"/>
      <c r="O460" s="41"/>
      <c r="P460" s="41"/>
      <c r="Q460" s="41"/>
      <c r="R460" s="41"/>
    </row>
    <row r="461">
      <c r="C461" s="35"/>
      <c r="E461" s="35"/>
      <c r="G461" s="35"/>
      <c r="I461" s="35"/>
      <c r="K461" s="35"/>
      <c r="L461" s="35"/>
      <c r="N461" s="41"/>
      <c r="O461" s="41"/>
      <c r="P461" s="41"/>
      <c r="Q461" s="41"/>
      <c r="R461" s="41"/>
    </row>
    <row r="462">
      <c r="C462" s="35"/>
      <c r="E462" s="35"/>
      <c r="G462" s="35"/>
      <c r="I462" s="35"/>
      <c r="K462" s="35"/>
      <c r="L462" s="35"/>
      <c r="N462" s="41"/>
      <c r="O462" s="41"/>
      <c r="P462" s="41"/>
      <c r="Q462" s="41"/>
      <c r="R462" s="41"/>
    </row>
    <row r="463">
      <c r="C463" s="35"/>
      <c r="E463" s="35"/>
      <c r="G463" s="35"/>
      <c r="I463" s="35"/>
      <c r="K463" s="35"/>
      <c r="L463" s="35"/>
      <c r="N463" s="41"/>
      <c r="O463" s="41"/>
      <c r="P463" s="41"/>
      <c r="Q463" s="41"/>
      <c r="R463" s="41"/>
    </row>
    <row r="464">
      <c r="C464" s="35"/>
      <c r="E464" s="35"/>
      <c r="G464" s="35"/>
      <c r="I464" s="35"/>
      <c r="K464" s="35"/>
      <c r="L464" s="35"/>
      <c r="N464" s="41"/>
      <c r="O464" s="41"/>
      <c r="P464" s="41"/>
      <c r="Q464" s="41"/>
      <c r="R464" s="41"/>
    </row>
    <row r="465">
      <c r="C465" s="35"/>
      <c r="E465" s="35"/>
      <c r="G465" s="35"/>
      <c r="I465" s="35"/>
      <c r="K465" s="35"/>
      <c r="L465" s="35"/>
      <c r="N465" s="41"/>
      <c r="O465" s="41"/>
      <c r="P465" s="41"/>
      <c r="Q465" s="41"/>
      <c r="R465" s="41"/>
    </row>
    <row r="466">
      <c r="C466" s="35"/>
      <c r="E466" s="35"/>
      <c r="G466" s="35"/>
      <c r="I466" s="35"/>
      <c r="K466" s="35"/>
      <c r="L466" s="35"/>
      <c r="N466" s="41"/>
      <c r="O466" s="41"/>
      <c r="P466" s="41"/>
      <c r="Q466" s="41"/>
      <c r="R466" s="41"/>
    </row>
    <row r="467">
      <c r="C467" s="35"/>
      <c r="E467" s="35"/>
      <c r="G467" s="35"/>
      <c r="I467" s="35"/>
      <c r="K467" s="35"/>
      <c r="L467" s="35"/>
      <c r="N467" s="41"/>
      <c r="O467" s="41"/>
      <c r="P467" s="41"/>
      <c r="Q467" s="41"/>
      <c r="R467" s="41"/>
    </row>
    <row r="468">
      <c r="C468" s="35"/>
      <c r="E468" s="35"/>
      <c r="G468" s="35"/>
      <c r="I468" s="35"/>
      <c r="K468" s="35"/>
      <c r="L468" s="35"/>
      <c r="N468" s="41"/>
      <c r="O468" s="41"/>
      <c r="P468" s="41"/>
      <c r="Q468" s="41"/>
      <c r="R468" s="41"/>
    </row>
    <row r="469">
      <c r="C469" s="35"/>
      <c r="E469" s="35"/>
      <c r="G469" s="35"/>
      <c r="I469" s="35"/>
      <c r="K469" s="35"/>
      <c r="L469" s="35"/>
      <c r="N469" s="41"/>
      <c r="O469" s="41"/>
      <c r="P469" s="41"/>
      <c r="Q469" s="41"/>
      <c r="R469" s="41"/>
    </row>
    <row r="470">
      <c r="C470" s="35"/>
      <c r="E470" s="35"/>
      <c r="G470" s="35"/>
      <c r="I470" s="35"/>
      <c r="K470" s="35"/>
      <c r="L470" s="35"/>
      <c r="N470" s="41"/>
      <c r="O470" s="41"/>
      <c r="P470" s="41"/>
      <c r="Q470" s="41"/>
      <c r="R470" s="41"/>
    </row>
    <row r="471">
      <c r="C471" s="35"/>
      <c r="E471" s="35"/>
      <c r="G471" s="35"/>
      <c r="I471" s="35"/>
      <c r="K471" s="35"/>
      <c r="L471" s="35"/>
      <c r="N471" s="41"/>
      <c r="O471" s="41"/>
      <c r="P471" s="41"/>
      <c r="Q471" s="41"/>
      <c r="R471" s="41"/>
    </row>
    <row r="472">
      <c r="C472" s="35"/>
      <c r="E472" s="35"/>
      <c r="G472" s="35"/>
      <c r="I472" s="35"/>
      <c r="K472" s="35"/>
      <c r="L472" s="35"/>
      <c r="N472" s="41"/>
      <c r="O472" s="41"/>
      <c r="P472" s="41"/>
      <c r="Q472" s="41"/>
      <c r="R472" s="41"/>
    </row>
    <row r="473">
      <c r="C473" s="35"/>
      <c r="E473" s="35"/>
      <c r="G473" s="35"/>
      <c r="I473" s="35"/>
      <c r="K473" s="35"/>
      <c r="L473" s="35"/>
      <c r="N473" s="41"/>
      <c r="O473" s="41"/>
      <c r="P473" s="41"/>
      <c r="Q473" s="41"/>
      <c r="R473" s="41"/>
    </row>
    <row r="474">
      <c r="C474" s="35"/>
      <c r="E474" s="35"/>
      <c r="G474" s="35"/>
      <c r="I474" s="35"/>
      <c r="K474" s="35"/>
      <c r="L474" s="35"/>
      <c r="N474" s="41"/>
      <c r="O474" s="41"/>
      <c r="P474" s="41"/>
      <c r="Q474" s="41"/>
      <c r="R474" s="41"/>
    </row>
    <row r="475">
      <c r="C475" s="35"/>
      <c r="E475" s="35"/>
      <c r="G475" s="35"/>
      <c r="I475" s="35"/>
      <c r="K475" s="35"/>
      <c r="L475" s="35"/>
      <c r="N475" s="41"/>
      <c r="O475" s="41"/>
      <c r="P475" s="41"/>
      <c r="Q475" s="41"/>
      <c r="R475" s="41"/>
    </row>
    <row r="476">
      <c r="C476" s="35"/>
      <c r="E476" s="35"/>
      <c r="G476" s="35"/>
      <c r="I476" s="35"/>
      <c r="K476" s="35"/>
      <c r="L476" s="35"/>
      <c r="N476" s="41"/>
      <c r="O476" s="41"/>
      <c r="P476" s="41"/>
      <c r="Q476" s="41"/>
      <c r="R476" s="41"/>
    </row>
    <row r="477">
      <c r="C477" s="35"/>
      <c r="E477" s="35"/>
      <c r="G477" s="35"/>
      <c r="I477" s="35"/>
      <c r="K477" s="35"/>
      <c r="L477" s="35"/>
      <c r="N477" s="41"/>
      <c r="O477" s="41"/>
      <c r="P477" s="41"/>
      <c r="Q477" s="41"/>
      <c r="R477" s="41"/>
    </row>
    <row r="478">
      <c r="C478" s="35"/>
      <c r="E478" s="35"/>
      <c r="G478" s="35"/>
      <c r="I478" s="35"/>
      <c r="K478" s="35"/>
      <c r="L478" s="35"/>
      <c r="N478" s="41"/>
      <c r="O478" s="41"/>
      <c r="P478" s="41"/>
      <c r="Q478" s="41"/>
      <c r="R478" s="41"/>
    </row>
    <row r="479">
      <c r="C479" s="35"/>
      <c r="E479" s="35"/>
      <c r="G479" s="35"/>
      <c r="I479" s="35"/>
      <c r="K479" s="35"/>
      <c r="L479" s="35"/>
      <c r="N479" s="41"/>
      <c r="O479" s="41"/>
      <c r="P479" s="41"/>
      <c r="Q479" s="41"/>
      <c r="R479" s="41"/>
    </row>
    <row r="480">
      <c r="C480" s="35"/>
      <c r="E480" s="35"/>
      <c r="G480" s="35"/>
      <c r="I480" s="35"/>
      <c r="K480" s="35"/>
      <c r="L480" s="35"/>
      <c r="N480" s="41"/>
      <c r="O480" s="41"/>
      <c r="P480" s="41"/>
      <c r="Q480" s="41"/>
      <c r="R480" s="41"/>
    </row>
    <row r="481">
      <c r="C481" s="35"/>
      <c r="E481" s="35"/>
      <c r="G481" s="35"/>
      <c r="I481" s="35"/>
      <c r="K481" s="35"/>
      <c r="L481" s="35"/>
      <c r="N481" s="41"/>
      <c r="O481" s="41"/>
      <c r="P481" s="41"/>
      <c r="Q481" s="41"/>
      <c r="R481" s="41"/>
    </row>
    <row r="482">
      <c r="C482" s="35"/>
      <c r="E482" s="35"/>
      <c r="G482" s="35"/>
      <c r="I482" s="35"/>
      <c r="K482" s="35"/>
      <c r="L482" s="35"/>
      <c r="N482" s="41"/>
      <c r="O482" s="41"/>
      <c r="P482" s="41"/>
      <c r="Q482" s="41"/>
      <c r="R482" s="41"/>
    </row>
    <row r="483">
      <c r="C483" s="35"/>
      <c r="E483" s="35"/>
      <c r="G483" s="35"/>
      <c r="I483" s="35"/>
      <c r="K483" s="35"/>
      <c r="L483" s="35"/>
      <c r="N483" s="41"/>
      <c r="O483" s="41"/>
      <c r="P483" s="41"/>
      <c r="Q483" s="41"/>
      <c r="R483" s="41"/>
    </row>
    <row r="484">
      <c r="C484" s="35"/>
      <c r="E484" s="35"/>
      <c r="G484" s="35"/>
      <c r="I484" s="35"/>
      <c r="K484" s="35"/>
      <c r="L484" s="35"/>
      <c r="N484" s="41"/>
      <c r="O484" s="41"/>
      <c r="P484" s="41"/>
      <c r="Q484" s="41"/>
      <c r="R484" s="41"/>
    </row>
    <row r="485">
      <c r="C485" s="35"/>
      <c r="E485" s="35"/>
      <c r="G485" s="35"/>
      <c r="I485" s="35"/>
      <c r="K485" s="35"/>
      <c r="L485" s="35"/>
      <c r="N485" s="41"/>
      <c r="O485" s="41"/>
      <c r="P485" s="41"/>
      <c r="Q485" s="41"/>
      <c r="R485" s="41"/>
    </row>
    <row r="486">
      <c r="C486" s="35"/>
      <c r="E486" s="35"/>
      <c r="G486" s="35"/>
      <c r="I486" s="35"/>
      <c r="K486" s="35"/>
      <c r="L486" s="35"/>
      <c r="N486" s="41"/>
      <c r="O486" s="41"/>
      <c r="P486" s="41"/>
      <c r="Q486" s="41"/>
      <c r="R486" s="41"/>
    </row>
    <row r="487">
      <c r="C487" s="35"/>
      <c r="E487" s="35"/>
      <c r="G487" s="35"/>
      <c r="I487" s="35"/>
      <c r="K487" s="35"/>
      <c r="L487" s="35"/>
      <c r="N487" s="41"/>
      <c r="O487" s="41"/>
      <c r="P487" s="41"/>
      <c r="Q487" s="41"/>
      <c r="R487" s="41"/>
    </row>
    <row r="488">
      <c r="C488" s="35"/>
      <c r="E488" s="35"/>
      <c r="G488" s="35"/>
      <c r="I488" s="35"/>
      <c r="K488" s="35"/>
      <c r="L488" s="35"/>
      <c r="N488" s="41"/>
      <c r="O488" s="41"/>
      <c r="P488" s="41"/>
      <c r="Q488" s="41"/>
      <c r="R488" s="41"/>
    </row>
    <row r="489">
      <c r="C489" s="35"/>
      <c r="E489" s="35"/>
      <c r="G489" s="35"/>
      <c r="I489" s="35"/>
      <c r="K489" s="35"/>
      <c r="L489" s="35"/>
      <c r="N489" s="41"/>
      <c r="O489" s="41"/>
      <c r="P489" s="41"/>
      <c r="Q489" s="41"/>
      <c r="R489" s="41"/>
    </row>
    <row r="490">
      <c r="C490" s="35"/>
      <c r="E490" s="35"/>
      <c r="G490" s="35"/>
      <c r="I490" s="35"/>
      <c r="K490" s="35"/>
      <c r="L490" s="35"/>
      <c r="N490" s="41"/>
      <c r="O490" s="41"/>
      <c r="P490" s="41"/>
      <c r="Q490" s="41"/>
      <c r="R490" s="41"/>
    </row>
    <row r="491">
      <c r="C491" s="35"/>
      <c r="E491" s="35"/>
      <c r="G491" s="35"/>
      <c r="I491" s="35"/>
      <c r="K491" s="35"/>
      <c r="L491" s="35"/>
      <c r="N491" s="41"/>
      <c r="O491" s="41"/>
      <c r="P491" s="41"/>
      <c r="Q491" s="41"/>
      <c r="R491" s="41"/>
    </row>
    <row r="492">
      <c r="C492" s="35"/>
      <c r="E492" s="35"/>
      <c r="G492" s="35"/>
      <c r="I492" s="35"/>
      <c r="K492" s="35"/>
      <c r="L492" s="35"/>
      <c r="N492" s="41"/>
      <c r="O492" s="41"/>
      <c r="P492" s="41"/>
      <c r="Q492" s="41"/>
      <c r="R492" s="41"/>
    </row>
    <row r="493">
      <c r="C493" s="35"/>
      <c r="E493" s="35"/>
      <c r="G493" s="35"/>
      <c r="I493" s="35"/>
      <c r="K493" s="35"/>
      <c r="L493" s="35"/>
      <c r="N493" s="41"/>
      <c r="O493" s="41"/>
      <c r="P493" s="41"/>
      <c r="Q493" s="41"/>
      <c r="R493" s="41"/>
    </row>
    <row r="494">
      <c r="C494" s="35"/>
      <c r="E494" s="35"/>
      <c r="G494" s="35"/>
      <c r="I494" s="35"/>
      <c r="K494" s="35"/>
      <c r="L494" s="35"/>
      <c r="N494" s="41"/>
      <c r="O494" s="41"/>
      <c r="P494" s="41"/>
      <c r="Q494" s="41"/>
      <c r="R494" s="41"/>
    </row>
    <row r="495">
      <c r="C495" s="35"/>
      <c r="E495" s="35"/>
      <c r="G495" s="35"/>
      <c r="I495" s="35"/>
      <c r="K495" s="35"/>
      <c r="L495" s="35"/>
      <c r="N495" s="41"/>
      <c r="O495" s="41"/>
      <c r="P495" s="41"/>
      <c r="Q495" s="41"/>
      <c r="R495" s="41"/>
    </row>
    <row r="496">
      <c r="C496" s="35"/>
      <c r="E496" s="35"/>
      <c r="G496" s="35"/>
      <c r="I496" s="35"/>
      <c r="K496" s="35"/>
      <c r="L496" s="35"/>
      <c r="N496" s="41"/>
      <c r="O496" s="41"/>
      <c r="P496" s="41"/>
      <c r="Q496" s="41"/>
      <c r="R496" s="41"/>
    </row>
    <row r="497">
      <c r="C497" s="35"/>
      <c r="E497" s="35"/>
      <c r="G497" s="35"/>
      <c r="I497" s="35"/>
      <c r="K497" s="35"/>
      <c r="L497" s="35"/>
      <c r="N497" s="41"/>
      <c r="O497" s="41"/>
      <c r="P497" s="41"/>
      <c r="Q497" s="41"/>
      <c r="R497" s="41"/>
    </row>
    <row r="498">
      <c r="C498" s="35"/>
      <c r="E498" s="35"/>
      <c r="G498" s="35"/>
      <c r="I498" s="35"/>
      <c r="K498" s="35"/>
      <c r="L498" s="35"/>
      <c r="N498" s="41"/>
      <c r="O498" s="41"/>
      <c r="P498" s="41"/>
      <c r="Q498" s="41"/>
      <c r="R498" s="41"/>
    </row>
    <row r="499">
      <c r="C499" s="35"/>
      <c r="E499" s="35"/>
      <c r="G499" s="35"/>
      <c r="I499" s="35"/>
      <c r="K499" s="35"/>
      <c r="L499" s="35"/>
      <c r="N499" s="41"/>
      <c r="O499" s="41"/>
      <c r="P499" s="41"/>
      <c r="Q499" s="41"/>
      <c r="R499" s="41"/>
    </row>
    <row r="500">
      <c r="C500" s="35"/>
      <c r="E500" s="35"/>
      <c r="G500" s="35"/>
      <c r="I500" s="35"/>
      <c r="K500" s="35"/>
      <c r="L500" s="35"/>
      <c r="N500" s="41"/>
      <c r="O500" s="41"/>
      <c r="P500" s="41"/>
      <c r="Q500" s="41"/>
      <c r="R500" s="41"/>
    </row>
    <row r="501">
      <c r="C501" s="35"/>
      <c r="E501" s="35"/>
      <c r="G501" s="35"/>
      <c r="I501" s="35"/>
      <c r="K501" s="35"/>
      <c r="L501" s="35"/>
      <c r="N501" s="41"/>
      <c r="O501" s="41"/>
      <c r="P501" s="41"/>
      <c r="Q501" s="41"/>
      <c r="R501" s="41"/>
    </row>
    <row r="502">
      <c r="C502" s="35"/>
      <c r="E502" s="35"/>
      <c r="G502" s="35"/>
      <c r="I502" s="35"/>
      <c r="K502" s="35"/>
      <c r="L502" s="35"/>
      <c r="N502" s="41"/>
      <c r="O502" s="41"/>
      <c r="P502" s="41"/>
      <c r="Q502" s="41"/>
      <c r="R502" s="41"/>
    </row>
    <row r="503">
      <c r="C503" s="35"/>
      <c r="E503" s="35"/>
      <c r="G503" s="35"/>
      <c r="I503" s="35"/>
      <c r="K503" s="35"/>
      <c r="L503" s="35"/>
      <c r="N503" s="41"/>
      <c r="O503" s="41"/>
      <c r="P503" s="41"/>
      <c r="Q503" s="41"/>
      <c r="R503" s="41"/>
    </row>
    <row r="504">
      <c r="C504" s="35"/>
      <c r="E504" s="35"/>
      <c r="G504" s="35"/>
      <c r="I504" s="35"/>
      <c r="K504" s="35"/>
      <c r="L504" s="35"/>
      <c r="N504" s="41"/>
      <c r="O504" s="41"/>
      <c r="P504" s="41"/>
      <c r="Q504" s="41"/>
      <c r="R504" s="41"/>
    </row>
    <row r="505">
      <c r="C505" s="35"/>
      <c r="E505" s="35"/>
      <c r="G505" s="35"/>
      <c r="I505" s="35"/>
      <c r="K505" s="35"/>
      <c r="L505" s="35"/>
      <c r="N505" s="41"/>
      <c r="O505" s="41"/>
      <c r="P505" s="41"/>
      <c r="Q505" s="41"/>
      <c r="R505" s="41"/>
    </row>
    <row r="506">
      <c r="C506" s="35"/>
      <c r="E506" s="35"/>
      <c r="G506" s="35"/>
      <c r="I506" s="35"/>
      <c r="K506" s="35"/>
      <c r="L506" s="35"/>
      <c r="N506" s="41"/>
      <c r="O506" s="41"/>
      <c r="P506" s="41"/>
      <c r="Q506" s="41"/>
      <c r="R506" s="41"/>
    </row>
    <row r="507">
      <c r="C507" s="35"/>
      <c r="E507" s="35"/>
      <c r="G507" s="35"/>
      <c r="I507" s="35"/>
      <c r="K507" s="35"/>
      <c r="L507" s="35"/>
      <c r="N507" s="41"/>
      <c r="O507" s="41"/>
      <c r="P507" s="41"/>
      <c r="Q507" s="41"/>
      <c r="R507" s="41"/>
    </row>
    <row r="508">
      <c r="C508" s="35"/>
      <c r="E508" s="35"/>
      <c r="G508" s="35"/>
      <c r="I508" s="35"/>
      <c r="K508" s="35"/>
      <c r="L508" s="35"/>
      <c r="N508" s="41"/>
      <c r="O508" s="41"/>
      <c r="P508" s="41"/>
      <c r="Q508" s="41"/>
      <c r="R508" s="41"/>
    </row>
    <row r="509">
      <c r="C509" s="35"/>
      <c r="E509" s="35"/>
      <c r="G509" s="35"/>
      <c r="I509" s="35"/>
      <c r="K509" s="35"/>
      <c r="L509" s="35"/>
      <c r="N509" s="41"/>
      <c r="O509" s="41"/>
      <c r="P509" s="41"/>
      <c r="Q509" s="41"/>
      <c r="R509" s="41"/>
    </row>
    <row r="510">
      <c r="C510" s="35"/>
      <c r="E510" s="35"/>
      <c r="G510" s="35"/>
      <c r="I510" s="35"/>
      <c r="K510" s="35"/>
      <c r="L510" s="35"/>
      <c r="N510" s="41"/>
      <c r="O510" s="41"/>
      <c r="P510" s="41"/>
      <c r="Q510" s="41"/>
      <c r="R510" s="41"/>
    </row>
    <row r="511">
      <c r="C511" s="35"/>
      <c r="E511" s="35"/>
      <c r="G511" s="35"/>
      <c r="I511" s="35"/>
      <c r="K511" s="35"/>
      <c r="L511" s="35"/>
      <c r="N511" s="41"/>
      <c r="O511" s="41"/>
      <c r="P511" s="41"/>
      <c r="Q511" s="41"/>
      <c r="R511" s="41"/>
    </row>
    <row r="512">
      <c r="C512" s="35"/>
      <c r="E512" s="35"/>
      <c r="G512" s="35"/>
      <c r="I512" s="35"/>
      <c r="K512" s="35"/>
      <c r="L512" s="35"/>
      <c r="N512" s="41"/>
      <c r="O512" s="41"/>
      <c r="P512" s="41"/>
      <c r="Q512" s="41"/>
      <c r="R512" s="41"/>
    </row>
    <row r="513">
      <c r="C513" s="35"/>
      <c r="E513" s="35"/>
      <c r="G513" s="35"/>
      <c r="I513" s="35"/>
      <c r="K513" s="35"/>
      <c r="L513" s="35"/>
      <c r="N513" s="41"/>
      <c r="O513" s="41"/>
      <c r="P513" s="41"/>
      <c r="Q513" s="41"/>
      <c r="R513" s="41"/>
    </row>
    <row r="514">
      <c r="C514" s="35"/>
      <c r="E514" s="35"/>
      <c r="G514" s="35"/>
      <c r="I514" s="35"/>
      <c r="K514" s="35"/>
      <c r="L514" s="35"/>
      <c r="N514" s="41"/>
      <c r="O514" s="41"/>
      <c r="P514" s="41"/>
      <c r="Q514" s="41"/>
      <c r="R514" s="41"/>
    </row>
    <row r="515">
      <c r="C515" s="35"/>
      <c r="E515" s="35"/>
      <c r="G515" s="35"/>
      <c r="I515" s="35"/>
      <c r="K515" s="35"/>
      <c r="L515" s="35"/>
      <c r="N515" s="41"/>
      <c r="O515" s="41"/>
      <c r="P515" s="41"/>
      <c r="Q515" s="41"/>
      <c r="R515" s="41"/>
    </row>
    <row r="516">
      <c r="C516" s="35"/>
      <c r="E516" s="35"/>
      <c r="G516" s="35"/>
      <c r="I516" s="35"/>
      <c r="K516" s="35"/>
      <c r="L516" s="35"/>
      <c r="N516" s="41"/>
      <c r="O516" s="41"/>
      <c r="P516" s="41"/>
      <c r="Q516" s="41"/>
      <c r="R516" s="41"/>
    </row>
    <row r="517">
      <c r="C517" s="35"/>
      <c r="E517" s="35"/>
      <c r="G517" s="35"/>
      <c r="I517" s="35"/>
      <c r="K517" s="35"/>
      <c r="L517" s="35"/>
      <c r="N517" s="41"/>
      <c r="O517" s="41"/>
      <c r="P517" s="41"/>
      <c r="Q517" s="41"/>
      <c r="R517" s="41"/>
    </row>
    <row r="518">
      <c r="C518" s="35"/>
      <c r="E518" s="35"/>
      <c r="G518" s="35"/>
      <c r="I518" s="35"/>
      <c r="K518" s="35"/>
      <c r="L518" s="35"/>
      <c r="N518" s="41"/>
      <c r="O518" s="41"/>
      <c r="P518" s="41"/>
      <c r="Q518" s="41"/>
      <c r="R518" s="41"/>
    </row>
    <row r="519">
      <c r="C519" s="35"/>
      <c r="E519" s="35"/>
      <c r="G519" s="35"/>
      <c r="I519" s="35"/>
      <c r="K519" s="35"/>
      <c r="L519" s="35"/>
      <c r="N519" s="41"/>
      <c r="O519" s="41"/>
      <c r="P519" s="41"/>
      <c r="Q519" s="41"/>
      <c r="R519" s="41"/>
    </row>
    <row r="520">
      <c r="C520" s="35"/>
      <c r="E520" s="35"/>
      <c r="G520" s="35"/>
      <c r="I520" s="35"/>
      <c r="K520" s="35"/>
      <c r="L520" s="35"/>
      <c r="N520" s="41"/>
      <c r="O520" s="41"/>
      <c r="P520" s="41"/>
      <c r="Q520" s="41"/>
      <c r="R520" s="41"/>
    </row>
    <row r="521">
      <c r="C521" s="35"/>
      <c r="E521" s="35"/>
      <c r="G521" s="35"/>
      <c r="I521" s="35"/>
      <c r="K521" s="35"/>
      <c r="L521" s="35"/>
      <c r="N521" s="41"/>
      <c r="O521" s="41"/>
      <c r="P521" s="41"/>
      <c r="Q521" s="41"/>
      <c r="R521" s="41"/>
    </row>
    <row r="522">
      <c r="C522" s="35"/>
      <c r="E522" s="35"/>
      <c r="G522" s="35"/>
      <c r="I522" s="35"/>
      <c r="K522" s="35"/>
      <c r="L522" s="35"/>
      <c r="N522" s="41"/>
      <c r="O522" s="41"/>
      <c r="P522" s="41"/>
      <c r="Q522" s="41"/>
      <c r="R522" s="41"/>
    </row>
    <row r="523">
      <c r="C523" s="35"/>
      <c r="E523" s="35"/>
      <c r="G523" s="35"/>
      <c r="I523" s="35"/>
      <c r="K523" s="35"/>
      <c r="L523" s="35"/>
      <c r="N523" s="41"/>
      <c r="O523" s="41"/>
      <c r="P523" s="41"/>
      <c r="Q523" s="41"/>
      <c r="R523" s="41"/>
    </row>
    <row r="524">
      <c r="C524" s="35"/>
      <c r="E524" s="35"/>
      <c r="G524" s="35"/>
      <c r="I524" s="35"/>
      <c r="K524" s="35"/>
      <c r="L524" s="35"/>
      <c r="N524" s="41"/>
      <c r="O524" s="41"/>
      <c r="P524" s="41"/>
      <c r="Q524" s="41"/>
      <c r="R524" s="41"/>
    </row>
    <row r="525">
      <c r="C525" s="35"/>
      <c r="E525" s="35"/>
      <c r="G525" s="35"/>
      <c r="I525" s="35"/>
      <c r="K525" s="35"/>
      <c r="L525" s="35"/>
      <c r="N525" s="41"/>
      <c r="O525" s="41"/>
      <c r="P525" s="41"/>
      <c r="Q525" s="41"/>
      <c r="R525" s="41"/>
    </row>
    <row r="526">
      <c r="C526" s="35"/>
      <c r="E526" s="35"/>
      <c r="G526" s="35"/>
      <c r="I526" s="35"/>
      <c r="K526" s="35"/>
      <c r="L526" s="35"/>
      <c r="N526" s="41"/>
      <c r="O526" s="41"/>
      <c r="P526" s="41"/>
      <c r="Q526" s="41"/>
      <c r="R526" s="41"/>
    </row>
    <row r="527">
      <c r="C527" s="35"/>
      <c r="E527" s="35"/>
      <c r="G527" s="35"/>
      <c r="I527" s="35"/>
      <c r="K527" s="35"/>
      <c r="L527" s="35"/>
      <c r="N527" s="41"/>
      <c r="O527" s="41"/>
      <c r="P527" s="41"/>
      <c r="Q527" s="41"/>
      <c r="R527" s="41"/>
    </row>
    <row r="528">
      <c r="C528" s="35"/>
      <c r="E528" s="35"/>
      <c r="G528" s="35"/>
      <c r="I528" s="35"/>
      <c r="K528" s="35"/>
      <c r="L528" s="35"/>
      <c r="N528" s="41"/>
      <c r="O528" s="41"/>
      <c r="P528" s="41"/>
      <c r="Q528" s="41"/>
      <c r="R528" s="41"/>
    </row>
    <row r="529">
      <c r="C529" s="35"/>
      <c r="E529" s="35"/>
      <c r="G529" s="35"/>
      <c r="I529" s="35"/>
      <c r="K529" s="35"/>
      <c r="L529" s="35"/>
      <c r="N529" s="41"/>
      <c r="O529" s="41"/>
      <c r="P529" s="41"/>
      <c r="Q529" s="41"/>
      <c r="R529" s="41"/>
    </row>
    <row r="530">
      <c r="C530" s="35"/>
      <c r="E530" s="35"/>
      <c r="G530" s="35"/>
      <c r="I530" s="35"/>
      <c r="K530" s="35"/>
      <c r="L530" s="35"/>
      <c r="N530" s="41"/>
      <c r="O530" s="41"/>
      <c r="P530" s="41"/>
      <c r="Q530" s="41"/>
      <c r="R530" s="41"/>
    </row>
    <row r="531">
      <c r="C531" s="35"/>
      <c r="E531" s="35"/>
      <c r="G531" s="35"/>
      <c r="I531" s="35"/>
      <c r="K531" s="35"/>
      <c r="L531" s="35"/>
      <c r="N531" s="41"/>
      <c r="O531" s="41"/>
      <c r="P531" s="41"/>
      <c r="Q531" s="41"/>
      <c r="R531" s="41"/>
    </row>
    <row r="532">
      <c r="C532" s="35"/>
      <c r="E532" s="35"/>
      <c r="G532" s="35"/>
      <c r="I532" s="35"/>
      <c r="K532" s="35"/>
      <c r="L532" s="35"/>
      <c r="N532" s="41"/>
      <c r="O532" s="41"/>
      <c r="P532" s="41"/>
      <c r="Q532" s="41"/>
      <c r="R532" s="41"/>
    </row>
    <row r="533">
      <c r="C533" s="35"/>
      <c r="E533" s="35"/>
      <c r="G533" s="35"/>
      <c r="I533" s="35"/>
      <c r="K533" s="35"/>
      <c r="L533" s="35"/>
      <c r="N533" s="41"/>
      <c r="O533" s="41"/>
      <c r="P533" s="41"/>
      <c r="Q533" s="41"/>
      <c r="R533" s="41"/>
    </row>
    <row r="534">
      <c r="C534" s="35"/>
      <c r="E534" s="35"/>
      <c r="G534" s="35"/>
      <c r="I534" s="35"/>
      <c r="K534" s="35"/>
      <c r="L534" s="35"/>
      <c r="N534" s="41"/>
      <c r="O534" s="41"/>
      <c r="P534" s="41"/>
      <c r="Q534" s="41"/>
      <c r="R534" s="41"/>
    </row>
    <row r="535">
      <c r="C535" s="35"/>
      <c r="E535" s="35"/>
      <c r="G535" s="35"/>
      <c r="I535" s="35"/>
      <c r="K535" s="35"/>
      <c r="L535" s="35"/>
      <c r="N535" s="41"/>
      <c r="O535" s="41"/>
      <c r="P535" s="41"/>
      <c r="Q535" s="41"/>
      <c r="R535" s="41"/>
    </row>
    <row r="536">
      <c r="C536" s="35"/>
      <c r="E536" s="35"/>
      <c r="G536" s="35"/>
      <c r="I536" s="35"/>
      <c r="K536" s="35"/>
      <c r="L536" s="35"/>
      <c r="N536" s="41"/>
      <c r="O536" s="41"/>
      <c r="P536" s="41"/>
      <c r="Q536" s="41"/>
      <c r="R536" s="41"/>
    </row>
    <row r="537">
      <c r="C537" s="35"/>
      <c r="E537" s="35"/>
      <c r="G537" s="35"/>
      <c r="I537" s="35"/>
      <c r="K537" s="35"/>
      <c r="L537" s="35"/>
      <c r="N537" s="41"/>
      <c r="O537" s="41"/>
      <c r="P537" s="41"/>
      <c r="Q537" s="41"/>
      <c r="R537" s="41"/>
    </row>
    <row r="538">
      <c r="C538" s="35"/>
      <c r="E538" s="35"/>
      <c r="G538" s="35"/>
      <c r="I538" s="35"/>
      <c r="K538" s="35"/>
      <c r="L538" s="35"/>
      <c r="N538" s="41"/>
      <c r="O538" s="41"/>
      <c r="P538" s="41"/>
      <c r="Q538" s="41"/>
      <c r="R538" s="41"/>
    </row>
    <row r="539">
      <c r="C539" s="35"/>
      <c r="E539" s="35"/>
      <c r="G539" s="35"/>
      <c r="I539" s="35"/>
      <c r="K539" s="35"/>
      <c r="L539" s="35"/>
      <c r="N539" s="41"/>
      <c r="O539" s="41"/>
      <c r="P539" s="41"/>
      <c r="Q539" s="41"/>
      <c r="R539" s="41"/>
    </row>
    <row r="540">
      <c r="C540" s="35"/>
      <c r="E540" s="35"/>
      <c r="G540" s="35"/>
      <c r="I540" s="35"/>
      <c r="K540" s="35"/>
      <c r="L540" s="35"/>
      <c r="N540" s="41"/>
      <c r="O540" s="41"/>
      <c r="P540" s="41"/>
      <c r="Q540" s="41"/>
      <c r="R540" s="41"/>
    </row>
    <row r="541">
      <c r="C541" s="35"/>
      <c r="E541" s="35"/>
      <c r="G541" s="35"/>
      <c r="I541" s="35"/>
      <c r="K541" s="35"/>
      <c r="L541" s="35"/>
      <c r="N541" s="41"/>
      <c r="O541" s="41"/>
      <c r="P541" s="41"/>
      <c r="Q541" s="41"/>
      <c r="R541" s="41"/>
    </row>
    <row r="542">
      <c r="C542" s="35"/>
      <c r="E542" s="35"/>
      <c r="G542" s="35"/>
      <c r="I542" s="35"/>
      <c r="K542" s="35"/>
      <c r="L542" s="35"/>
      <c r="N542" s="41"/>
      <c r="O542" s="41"/>
      <c r="P542" s="41"/>
      <c r="Q542" s="41"/>
      <c r="R542" s="41"/>
    </row>
    <row r="543">
      <c r="C543" s="35"/>
      <c r="E543" s="35"/>
      <c r="G543" s="35"/>
      <c r="I543" s="35"/>
      <c r="K543" s="35"/>
      <c r="L543" s="35"/>
      <c r="N543" s="41"/>
      <c r="O543" s="41"/>
      <c r="P543" s="41"/>
      <c r="Q543" s="41"/>
      <c r="R543" s="41"/>
    </row>
    <row r="544">
      <c r="C544" s="35"/>
      <c r="E544" s="35"/>
      <c r="G544" s="35"/>
      <c r="I544" s="35"/>
      <c r="K544" s="35"/>
      <c r="L544" s="35"/>
      <c r="N544" s="41"/>
      <c r="O544" s="41"/>
      <c r="P544" s="41"/>
      <c r="Q544" s="41"/>
      <c r="R544" s="41"/>
    </row>
    <row r="545">
      <c r="C545" s="35"/>
      <c r="E545" s="35"/>
      <c r="G545" s="35"/>
      <c r="I545" s="35"/>
      <c r="K545" s="35"/>
      <c r="L545" s="35"/>
      <c r="N545" s="41"/>
      <c r="O545" s="41"/>
      <c r="P545" s="41"/>
      <c r="Q545" s="41"/>
      <c r="R545" s="41"/>
    </row>
    <row r="546">
      <c r="C546" s="35"/>
      <c r="E546" s="35"/>
      <c r="G546" s="35"/>
      <c r="I546" s="35"/>
      <c r="K546" s="35"/>
      <c r="L546" s="35"/>
      <c r="N546" s="41"/>
      <c r="O546" s="41"/>
      <c r="P546" s="41"/>
      <c r="Q546" s="41"/>
      <c r="R546" s="41"/>
    </row>
    <row r="547">
      <c r="C547" s="35"/>
      <c r="E547" s="35"/>
      <c r="G547" s="35"/>
      <c r="I547" s="35"/>
      <c r="K547" s="35"/>
      <c r="L547" s="35"/>
      <c r="N547" s="41"/>
      <c r="O547" s="41"/>
      <c r="P547" s="41"/>
      <c r="Q547" s="41"/>
      <c r="R547" s="41"/>
    </row>
    <row r="548">
      <c r="C548" s="35"/>
      <c r="E548" s="35"/>
      <c r="G548" s="35"/>
      <c r="I548" s="35"/>
      <c r="K548" s="35"/>
      <c r="L548" s="35"/>
      <c r="N548" s="41"/>
      <c r="O548" s="41"/>
      <c r="P548" s="41"/>
      <c r="Q548" s="41"/>
      <c r="R548" s="41"/>
    </row>
    <row r="549">
      <c r="C549" s="35"/>
      <c r="E549" s="35"/>
      <c r="G549" s="35"/>
      <c r="I549" s="35"/>
      <c r="K549" s="35"/>
      <c r="L549" s="35"/>
      <c r="N549" s="41"/>
      <c r="O549" s="41"/>
      <c r="P549" s="41"/>
      <c r="Q549" s="41"/>
      <c r="R549" s="41"/>
    </row>
    <row r="550">
      <c r="C550" s="35"/>
      <c r="E550" s="35"/>
      <c r="G550" s="35"/>
      <c r="I550" s="35"/>
      <c r="K550" s="35"/>
      <c r="L550" s="35"/>
      <c r="N550" s="41"/>
      <c r="O550" s="41"/>
      <c r="P550" s="41"/>
      <c r="Q550" s="41"/>
      <c r="R550" s="41"/>
    </row>
    <row r="551">
      <c r="C551" s="35"/>
      <c r="E551" s="35"/>
      <c r="G551" s="35"/>
      <c r="I551" s="35"/>
      <c r="K551" s="35"/>
      <c r="L551" s="35"/>
      <c r="N551" s="41"/>
      <c r="O551" s="41"/>
      <c r="P551" s="41"/>
      <c r="Q551" s="41"/>
      <c r="R551" s="41"/>
    </row>
    <row r="552">
      <c r="C552" s="35"/>
      <c r="E552" s="35"/>
      <c r="G552" s="35"/>
      <c r="I552" s="35"/>
      <c r="K552" s="35"/>
      <c r="L552" s="35"/>
      <c r="N552" s="41"/>
      <c r="O552" s="41"/>
      <c r="P552" s="41"/>
      <c r="Q552" s="41"/>
      <c r="R552" s="41"/>
    </row>
    <row r="553">
      <c r="C553" s="35"/>
      <c r="E553" s="35"/>
      <c r="G553" s="35"/>
      <c r="I553" s="35"/>
      <c r="K553" s="35"/>
      <c r="L553" s="35"/>
      <c r="N553" s="41"/>
      <c r="O553" s="41"/>
      <c r="P553" s="41"/>
      <c r="Q553" s="41"/>
      <c r="R553" s="41"/>
    </row>
    <row r="554">
      <c r="C554" s="35"/>
      <c r="E554" s="35"/>
      <c r="G554" s="35"/>
      <c r="I554" s="35"/>
      <c r="K554" s="35"/>
      <c r="L554" s="35"/>
      <c r="N554" s="41"/>
      <c r="O554" s="41"/>
      <c r="P554" s="41"/>
      <c r="Q554" s="41"/>
      <c r="R554" s="41"/>
    </row>
    <row r="555">
      <c r="C555" s="35"/>
      <c r="E555" s="35"/>
      <c r="G555" s="35"/>
      <c r="I555" s="35"/>
      <c r="K555" s="35"/>
      <c r="L555" s="35"/>
      <c r="N555" s="41"/>
      <c r="O555" s="41"/>
      <c r="P555" s="41"/>
      <c r="Q555" s="41"/>
      <c r="R555" s="41"/>
    </row>
    <row r="556">
      <c r="C556" s="35"/>
      <c r="E556" s="35"/>
      <c r="G556" s="35"/>
      <c r="I556" s="35"/>
      <c r="K556" s="35"/>
      <c r="L556" s="35"/>
      <c r="N556" s="41"/>
      <c r="O556" s="41"/>
      <c r="P556" s="41"/>
      <c r="Q556" s="41"/>
      <c r="R556" s="41"/>
    </row>
    <row r="557">
      <c r="C557" s="35"/>
      <c r="E557" s="35"/>
      <c r="G557" s="35"/>
      <c r="I557" s="35"/>
      <c r="K557" s="35"/>
      <c r="L557" s="35"/>
      <c r="N557" s="41"/>
      <c r="O557" s="41"/>
      <c r="P557" s="41"/>
      <c r="Q557" s="41"/>
      <c r="R557" s="41"/>
    </row>
    <row r="558">
      <c r="C558" s="35"/>
      <c r="E558" s="35"/>
      <c r="G558" s="35"/>
      <c r="I558" s="35"/>
      <c r="K558" s="35"/>
      <c r="L558" s="35"/>
      <c r="N558" s="41"/>
      <c r="O558" s="41"/>
      <c r="P558" s="41"/>
      <c r="Q558" s="41"/>
      <c r="R558" s="41"/>
    </row>
    <row r="559">
      <c r="C559" s="35"/>
      <c r="E559" s="35"/>
      <c r="G559" s="35"/>
      <c r="I559" s="35"/>
      <c r="K559" s="35"/>
      <c r="L559" s="35"/>
      <c r="N559" s="41"/>
      <c r="O559" s="41"/>
      <c r="P559" s="41"/>
      <c r="Q559" s="41"/>
      <c r="R559" s="41"/>
    </row>
    <row r="560">
      <c r="C560" s="35"/>
      <c r="E560" s="35"/>
      <c r="G560" s="35"/>
      <c r="I560" s="35"/>
      <c r="K560" s="35"/>
      <c r="L560" s="35"/>
      <c r="N560" s="41"/>
      <c r="O560" s="41"/>
      <c r="P560" s="41"/>
      <c r="Q560" s="41"/>
      <c r="R560" s="41"/>
    </row>
    <row r="561">
      <c r="C561" s="35"/>
      <c r="E561" s="35"/>
      <c r="G561" s="35"/>
      <c r="I561" s="35"/>
      <c r="K561" s="35"/>
      <c r="L561" s="35"/>
      <c r="N561" s="41"/>
      <c r="O561" s="41"/>
      <c r="P561" s="41"/>
      <c r="Q561" s="41"/>
      <c r="R561" s="41"/>
    </row>
    <row r="562">
      <c r="C562" s="35"/>
      <c r="E562" s="35"/>
      <c r="G562" s="35"/>
      <c r="I562" s="35"/>
      <c r="K562" s="35"/>
      <c r="L562" s="35"/>
      <c r="N562" s="41"/>
      <c r="O562" s="41"/>
      <c r="P562" s="41"/>
      <c r="Q562" s="41"/>
      <c r="R562" s="41"/>
    </row>
    <row r="563">
      <c r="C563" s="35"/>
      <c r="E563" s="35"/>
      <c r="G563" s="35"/>
      <c r="I563" s="35"/>
      <c r="K563" s="35"/>
      <c r="L563" s="35"/>
      <c r="N563" s="41"/>
      <c r="O563" s="41"/>
      <c r="P563" s="41"/>
      <c r="Q563" s="41"/>
      <c r="R563" s="41"/>
    </row>
    <row r="564">
      <c r="C564" s="35"/>
      <c r="E564" s="35"/>
      <c r="G564" s="35"/>
      <c r="I564" s="35"/>
      <c r="K564" s="35"/>
      <c r="L564" s="35"/>
      <c r="N564" s="41"/>
      <c r="O564" s="41"/>
      <c r="P564" s="41"/>
      <c r="Q564" s="41"/>
      <c r="R564" s="41"/>
    </row>
    <row r="565">
      <c r="C565" s="35"/>
      <c r="E565" s="35"/>
      <c r="G565" s="35"/>
      <c r="I565" s="35"/>
      <c r="K565" s="35"/>
      <c r="L565" s="35"/>
      <c r="N565" s="41"/>
      <c r="O565" s="41"/>
      <c r="P565" s="41"/>
      <c r="Q565" s="41"/>
      <c r="R565" s="41"/>
    </row>
    <row r="566">
      <c r="C566" s="35"/>
      <c r="E566" s="35"/>
      <c r="G566" s="35"/>
      <c r="I566" s="35"/>
      <c r="K566" s="35"/>
      <c r="L566" s="35"/>
      <c r="N566" s="41"/>
      <c r="O566" s="41"/>
      <c r="P566" s="41"/>
      <c r="Q566" s="41"/>
      <c r="R566" s="41"/>
    </row>
    <row r="567">
      <c r="C567" s="35"/>
      <c r="E567" s="35"/>
      <c r="G567" s="35"/>
      <c r="I567" s="35"/>
      <c r="K567" s="35"/>
      <c r="L567" s="35"/>
      <c r="N567" s="41"/>
      <c r="O567" s="41"/>
      <c r="P567" s="41"/>
      <c r="Q567" s="41"/>
      <c r="R567" s="41"/>
    </row>
    <row r="568">
      <c r="C568" s="35"/>
      <c r="E568" s="35"/>
      <c r="G568" s="35"/>
      <c r="I568" s="35"/>
      <c r="K568" s="35"/>
      <c r="L568" s="35"/>
      <c r="N568" s="41"/>
      <c r="O568" s="41"/>
      <c r="P568" s="41"/>
      <c r="Q568" s="41"/>
      <c r="R568" s="41"/>
    </row>
    <row r="569">
      <c r="C569" s="35"/>
      <c r="E569" s="35"/>
      <c r="G569" s="35"/>
      <c r="I569" s="35"/>
      <c r="K569" s="35"/>
      <c r="L569" s="35"/>
      <c r="N569" s="41"/>
      <c r="O569" s="41"/>
      <c r="P569" s="41"/>
      <c r="Q569" s="41"/>
      <c r="R569" s="41"/>
    </row>
    <row r="570">
      <c r="C570" s="35"/>
      <c r="E570" s="35"/>
      <c r="G570" s="35"/>
      <c r="I570" s="35"/>
      <c r="K570" s="35"/>
      <c r="L570" s="35"/>
      <c r="N570" s="41"/>
      <c r="O570" s="41"/>
      <c r="P570" s="41"/>
      <c r="Q570" s="41"/>
      <c r="R570" s="41"/>
    </row>
    <row r="571">
      <c r="C571" s="35"/>
      <c r="E571" s="35"/>
      <c r="G571" s="35"/>
      <c r="I571" s="35"/>
      <c r="K571" s="35"/>
      <c r="L571" s="35"/>
      <c r="N571" s="41"/>
      <c r="O571" s="41"/>
      <c r="P571" s="41"/>
      <c r="Q571" s="41"/>
      <c r="R571" s="41"/>
    </row>
    <row r="572">
      <c r="C572" s="35"/>
      <c r="E572" s="35"/>
      <c r="G572" s="35"/>
      <c r="I572" s="35"/>
      <c r="K572" s="35"/>
      <c r="L572" s="35"/>
      <c r="N572" s="41"/>
      <c r="O572" s="41"/>
      <c r="P572" s="41"/>
      <c r="Q572" s="41"/>
      <c r="R572" s="41"/>
    </row>
    <row r="573">
      <c r="C573" s="35"/>
      <c r="E573" s="35"/>
      <c r="G573" s="35"/>
      <c r="I573" s="35"/>
      <c r="K573" s="35"/>
      <c r="L573" s="35"/>
      <c r="N573" s="41"/>
      <c r="O573" s="41"/>
      <c r="P573" s="41"/>
      <c r="Q573" s="41"/>
      <c r="R573" s="41"/>
    </row>
    <row r="574">
      <c r="C574" s="35"/>
      <c r="E574" s="35"/>
      <c r="G574" s="35"/>
      <c r="I574" s="35"/>
      <c r="K574" s="35"/>
      <c r="L574" s="35"/>
      <c r="N574" s="41"/>
      <c r="O574" s="41"/>
      <c r="P574" s="41"/>
      <c r="Q574" s="41"/>
      <c r="R574" s="41"/>
    </row>
    <row r="575">
      <c r="C575" s="35"/>
      <c r="E575" s="35"/>
      <c r="G575" s="35"/>
      <c r="I575" s="35"/>
      <c r="K575" s="35"/>
      <c r="L575" s="35"/>
      <c r="N575" s="41"/>
      <c r="O575" s="41"/>
      <c r="P575" s="41"/>
      <c r="Q575" s="41"/>
      <c r="R575" s="41"/>
    </row>
    <row r="576">
      <c r="C576" s="35"/>
      <c r="E576" s="35"/>
      <c r="G576" s="35"/>
      <c r="I576" s="35"/>
      <c r="K576" s="35"/>
      <c r="L576" s="35"/>
      <c r="N576" s="41"/>
      <c r="O576" s="41"/>
      <c r="P576" s="41"/>
      <c r="Q576" s="41"/>
      <c r="R576" s="41"/>
    </row>
    <row r="577">
      <c r="C577" s="35"/>
      <c r="E577" s="35"/>
      <c r="G577" s="35"/>
      <c r="I577" s="35"/>
      <c r="K577" s="35"/>
      <c r="L577" s="35"/>
      <c r="N577" s="41"/>
      <c r="O577" s="41"/>
      <c r="P577" s="41"/>
      <c r="Q577" s="41"/>
      <c r="R577" s="41"/>
    </row>
    <row r="578">
      <c r="C578" s="35"/>
      <c r="E578" s="35"/>
      <c r="G578" s="35"/>
      <c r="I578" s="35"/>
      <c r="K578" s="35"/>
      <c r="L578" s="35"/>
      <c r="N578" s="41"/>
      <c r="O578" s="41"/>
      <c r="P578" s="41"/>
      <c r="Q578" s="41"/>
      <c r="R578" s="41"/>
    </row>
    <row r="579">
      <c r="C579" s="35"/>
      <c r="E579" s="35"/>
      <c r="G579" s="35"/>
      <c r="I579" s="35"/>
      <c r="K579" s="35"/>
      <c r="L579" s="35"/>
      <c r="N579" s="41"/>
      <c r="O579" s="41"/>
      <c r="P579" s="41"/>
      <c r="Q579" s="41"/>
      <c r="R579" s="41"/>
    </row>
    <row r="580">
      <c r="C580" s="35"/>
      <c r="E580" s="35"/>
      <c r="G580" s="35"/>
      <c r="I580" s="35"/>
      <c r="K580" s="35"/>
      <c r="L580" s="35"/>
      <c r="N580" s="41"/>
      <c r="O580" s="41"/>
      <c r="P580" s="41"/>
      <c r="Q580" s="41"/>
      <c r="R580" s="41"/>
    </row>
    <row r="581">
      <c r="C581" s="35"/>
      <c r="E581" s="35"/>
      <c r="G581" s="35"/>
      <c r="I581" s="35"/>
      <c r="K581" s="35"/>
      <c r="L581" s="35"/>
      <c r="N581" s="41"/>
      <c r="O581" s="41"/>
      <c r="P581" s="41"/>
      <c r="Q581" s="41"/>
      <c r="R581" s="41"/>
    </row>
    <row r="582">
      <c r="C582" s="35"/>
      <c r="E582" s="35"/>
      <c r="G582" s="35"/>
      <c r="I582" s="35"/>
      <c r="K582" s="35"/>
      <c r="L582" s="35"/>
      <c r="N582" s="41"/>
      <c r="O582" s="41"/>
      <c r="P582" s="41"/>
      <c r="Q582" s="41"/>
      <c r="R582" s="41"/>
    </row>
    <row r="583">
      <c r="C583" s="35"/>
      <c r="E583" s="35"/>
      <c r="G583" s="35"/>
      <c r="I583" s="35"/>
      <c r="K583" s="35"/>
      <c r="L583" s="35"/>
      <c r="N583" s="41"/>
      <c r="O583" s="41"/>
      <c r="P583" s="41"/>
      <c r="Q583" s="41"/>
      <c r="R583" s="41"/>
    </row>
    <row r="584">
      <c r="C584" s="35"/>
      <c r="E584" s="35"/>
      <c r="G584" s="35"/>
      <c r="I584" s="35"/>
      <c r="K584" s="35"/>
      <c r="L584" s="35"/>
      <c r="N584" s="41"/>
      <c r="O584" s="41"/>
      <c r="P584" s="41"/>
      <c r="Q584" s="41"/>
      <c r="R584" s="41"/>
    </row>
    <row r="585">
      <c r="C585" s="35"/>
      <c r="E585" s="35"/>
      <c r="G585" s="35"/>
      <c r="I585" s="35"/>
      <c r="K585" s="35"/>
      <c r="L585" s="35"/>
      <c r="N585" s="41"/>
      <c r="O585" s="41"/>
      <c r="P585" s="41"/>
      <c r="Q585" s="41"/>
      <c r="R585" s="41"/>
    </row>
    <row r="586">
      <c r="C586" s="35"/>
      <c r="E586" s="35"/>
      <c r="G586" s="35"/>
      <c r="I586" s="35"/>
      <c r="K586" s="35"/>
      <c r="L586" s="35"/>
      <c r="N586" s="41"/>
      <c r="O586" s="41"/>
      <c r="P586" s="41"/>
      <c r="Q586" s="41"/>
      <c r="R586" s="41"/>
    </row>
    <row r="587">
      <c r="C587" s="35"/>
      <c r="E587" s="35"/>
      <c r="G587" s="35"/>
      <c r="I587" s="35"/>
      <c r="K587" s="35"/>
      <c r="L587" s="35"/>
      <c r="N587" s="41"/>
      <c r="O587" s="41"/>
      <c r="P587" s="41"/>
      <c r="Q587" s="41"/>
      <c r="R587" s="41"/>
    </row>
    <row r="588">
      <c r="C588" s="35"/>
      <c r="E588" s="35"/>
      <c r="G588" s="35"/>
      <c r="I588" s="35"/>
      <c r="K588" s="35"/>
      <c r="L588" s="35"/>
      <c r="N588" s="41"/>
      <c r="O588" s="41"/>
      <c r="P588" s="41"/>
      <c r="Q588" s="41"/>
      <c r="R588" s="41"/>
    </row>
    <row r="589">
      <c r="C589" s="35"/>
      <c r="E589" s="35"/>
      <c r="G589" s="35"/>
      <c r="I589" s="35"/>
      <c r="K589" s="35"/>
      <c r="L589" s="35"/>
      <c r="N589" s="41"/>
      <c r="O589" s="41"/>
      <c r="P589" s="41"/>
      <c r="Q589" s="41"/>
      <c r="R589" s="41"/>
    </row>
    <row r="590">
      <c r="C590" s="35"/>
      <c r="E590" s="35"/>
      <c r="G590" s="35"/>
      <c r="I590" s="35"/>
      <c r="K590" s="35"/>
      <c r="L590" s="35"/>
      <c r="N590" s="41"/>
      <c r="O590" s="41"/>
      <c r="P590" s="41"/>
      <c r="Q590" s="41"/>
      <c r="R590" s="41"/>
    </row>
    <row r="591">
      <c r="C591" s="35"/>
      <c r="E591" s="35"/>
      <c r="G591" s="35"/>
      <c r="I591" s="35"/>
      <c r="K591" s="35"/>
      <c r="L591" s="35"/>
      <c r="N591" s="41"/>
      <c r="O591" s="41"/>
      <c r="P591" s="41"/>
      <c r="Q591" s="41"/>
      <c r="R591" s="41"/>
    </row>
    <row r="592">
      <c r="C592" s="35"/>
      <c r="E592" s="35"/>
      <c r="G592" s="35"/>
      <c r="I592" s="35"/>
      <c r="K592" s="35"/>
      <c r="L592" s="35"/>
      <c r="N592" s="41"/>
      <c r="O592" s="41"/>
      <c r="P592" s="41"/>
      <c r="Q592" s="41"/>
      <c r="R592" s="41"/>
    </row>
    <row r="593">
      <c r="C593" s="35"/>
      <c r="E593" s="35"/>
      <c r="G593" s="35"/>
      <c r="I593" s="35"/>
      <c r="K593" s="35"/>
      <c r="L593" s="35"/>
      <c r="N593" s="41"/>
      <c r="O593" s="41"/>
      <c r="P593" s="41"/>
      <c r="Q593" s="41"/>
      <c r="R593" s="41"/>
    </row>
    <row r="594">
      <c r="C594" s="35"/>
      <c r="E594" s="35"/>
      <c r="G594" s="35"/>
      <c r="I594" s="35"/>
      <c r="K594" s="35"/>
      <c r="L594" s="35"/>
      <c r="N594" s="41"/>
      <c r="O594" s="41"/>
      <c r="P594" s="41"/>
      <c r="Q594" s="41"/>
      <c r="R594" s="41"/>
    </row>
    <row r="595">
      <c r="C595" s="35"/>
      <c r="E595" s="35"/>
      <c r="G595" s="35"/>
      <c r="I595" s="35"/>
      <c r="K595" s="35"/>
      <c r="L595" s="35"/>
      <c r="N595" s="41"/>
      <c r="O595" s="41"/>
      <c r="P595" s="41"/>
      <c r="Q595" s="41"/>
      <c r="R595" s="41"/>
    </row>
    <row r="596">
      <c r="C596" s="35"/>
      <c r="E596" s="35"/>
      <c r="G596" s="35"/>
      <c r="I596" s="35"/>
      <c r="K596" s="35"/>
      <c r="L596" s="35"/>
      <c r="N596" s="41"/>
      <c r="O596" s="41"/>
      <c r="P596" s="41"/>
      <c r="Q596" s="41"/>
      <c r="R596" s="41"/>
    </row>
    <row r="597">
      <c r="C597" s="35"/>
      <c r="E597" s="35"/>
      <c r="G597" s="35"/>
      <c r="I597" s="35"/>
      <c r="K597" s="35"/>
      <c r="L597" s="35"/>
      <c r="N597" s="41"/>
      <c r="O597" s="41"/>
      <c r="P597" s="41"/>
      <c r="Q597" s="41"/>
      <c r="R597" s="41"/>
    </row>
    <row r="598">
      <c r="C598" s="35"/>
      <c r="E598" s="35"/>
      <c r="G598" s="35"/>
      <c r="I598" s="35"/>
      <c r="K598" s="35"/>
      <c r="L598" s="35"/>
      <c r="N598" s="41"/>
      <c r="O598" s="41"/>
      <c r="P598" s="41"/>
      <c r="Q598" s="41"/>
      <c r="R598" s="41"/>
    </row>
    <row r="599">
      <c r="C599" s="35"/>
      <c r="E599" s="35"/>
      <c r="G599" s="35"/>
      <c r="I599" s="35"/>
      <c r="K599" s="35"/>
      <c r="L599" s="35"/>
      <c r="N599" s="41"/>
      <c r="O599" s="41"/>
      <c r="P599" s="41"/>
      <c r="Q599" s="41"/>
      <c r="R599" s="41"/>
    </row>
    <row r="600">
      <c r="C600" s="35"/>
      <c r="E600" s="35"/>
      <c r="G600" s="35"/>
      <c r="I600" s="35"/>
      <c r="K600" s="35"/>
      <c r="L600" s="35"/>
      <c r="N600" s="41"/>
      <c r="O600" s="41"/>
      <c r="P600" s="41"/>
      <c r="Q600" s="41"/>
      <c r="R600" s="41"/>
    </row>
    <row r="601">
      <c r="C601" s="35"/>
      <c r="E601" s="35"/>
      <c r="G601" s="35"/>
      <c r="I601" s="35"/>
      <c r="K601" s="35"/>
      <c r="L601" s="35"/>
      <c r="N601" s="41"/>
      <c r="O601" s="41"/>
      <c r="P601" s="41"/>
      <c r="Q601" s="41"/>
      <c r="R601" s="41"/>
    </row>
    <row r="602">
      <c r="C602" s="35"/>
      <c r="E602" s="35"/>
      <c r="G602" s="35"/>
      <c r="I602" s="35"/>
      <c r="K602" s="35"/>
      <c r="L602" s="35"/>
      <c r="N602" s="41"/>
      <c r="O602" s="41"/>
      <c r="P602" s="41"/>
      <c r="Q602" s="41"/>
      <c r="R602" s="41"/>
    </row>
    <row r="603">
      <c r="C603" s="35"/>
      <c r="E603" s="35"/>
      <c r="G603" s="35"/>
      <c r="I603" s="35"/>
      <c r="K603" s="35"/>
      <c r="L603" s="35"/>
      <c r="N603" s="41"/>
      <c r="O603" s="41"/>
      <c r="P603" s="41"/>
      <c r="Q603" s="41"/>
      <c r="R603" s="41"/>
    </row>
    <row r="604">
      <c r="C604" s="35"/>
      <c r="E604" s="35"/>
      <c r="G604" s="35"/>
      <c r="I604" s="35"/>
      <c r="K604" s="35"/>
      <c r="L604" s="35"/>
      <c r="N604" s="41"/>
      <c r="O604" s="41"/>
      <c r="P604" s="41"/>
      <c r="Q604" s="41"/>
      <c r="R604" s="41"/>
    </row>
    <row r="605">
      <c r="C605" s="35"/>
      <c r="E605" s="35"/>
      <c r="G605" s="35"/>
      <c r="I605" s="35"/>
      <c r="K605" s="35"/>
      <c r="L605" s="35"/>
      <c r="N605" s="41"/>
      <c r="O605" s="41"/>
      <c r="P605" s="41"/>
      <c r="Q605" s="41"/>
      <c r="R605" s="41"/>
    </row>
    <row r="606">
      <c r="C606" s="35"/>
      <c r="E606" s="35"/>
      <c r="G606" s="35"/>
      <c r="I606" s="35"/>
      <c r="K606" s="35"/>
      <c r="L606" s="35"/>
      <c r="N606" s="41"/>
      <c r="O606" s="41"/>
      <c r="P606" s="41"/>
      <c r="Q606" s="41"/>
      <c r="R606" s="41"/>
    </row>
    <row r="607">
      <c r="C607" s="35"/>
      <c r="E607" s="35"/>
      <c r="G607" s="35"/>
      <c r="I607" s="35"/>
      <c r="K607" s="35"/>
      <c r="L607" s="35"/>
      <c r="N607" s="41"/>
      <c r="O607" s="41"/>
      <c r="P607" s="41"/>
      <c r="Q607" s="41"/>
      <c r="R607" s="41"/>
    </row>
    <row r="608">
      <c r="C608" s="35"/>
      <c r="E608" s="35"/>
      <c r="G608" s="35"/>
      <c r="I608" s="35"/>
      <c r="K608" s="35"/>
      <c r="L608" s="35"/>
      <c r="N608" s="41"/>
      <c r="O608" s="41"/>
      <c r="P608" s="41"/>
      <c r="Q608" s="41"/>
      <c r="R608" s="41"/>
    </row>
    <row r="609">
      <c r="C609" s="35"/>
      <c r="E609" s="35"/>
      <c r="G609" s="35"/>
      <c r="I609" s="35"/>
      <c r="K609" s="35"/>
      <c r="L609" s="35"/>
      <c r="N609" s="41"/>
      <c r="O609" s="41"/>
      <c r="P609" s="41"/>
      <c r="Q609" s="41"/>
      <c r="R609" s="41"/>
    </row>
    <row r="610">
      <c r="C610" s="35"/>
      <c r="E610" s="35"/>
      <c r="G610" s="35"/>
      <c r="I610" s="35"/>
      <c r="K610" s="35"/>
      <c r="L610" s="35"/>
      <c r="N610" s="41"/>
      <c r="O610" s="41"/>
      <c r="P610" s="41"/>
      <c r="Q610" s="41"/>
      <c r="R610" s="41"/>
    </row>
    <row r="611">
      <c r="C611" s="35"/>
      <c r="E611" s="35"/>
      <c r="G611" s="35"/>
      <c r="I611" s="35"/>
      <c r="K611" s="35"/>
      <c r="L611" s="35"/>
      <c r="N611" s="41"/>
      <c r="O611" s="41"/>
      <c r="P611" s="41"/>
      <c r="Q611" s="41"/>
      <c r="R611" s="41"/>
    </row>
    <row r="612">
      <c r="C612" s="35"/>
      <c r="E612" s="35"/>
      <c r="G612" s="35"/>
      <c r="I612" s="35"/>
      <c r="K612" s="35"/>
      <c r="L612" s="35"/>
      <c r="N612" s="41"/>
      <c r="O612" s="41"/>
      <c r="P612" s="41"/>
      <c r="Q612" s="41"/>
      <c r="R612" s="41"/>
    </row>
    <row r="613">
      <c r="C613" s="35"/>
      <c r="E613" s="35"/>
      <c r="G613" s="35"/>
      <c r="I613" s="35"/>
      <c r="K613" s="35"/>
      <c r="L613" s="35"/>
      <c r="N613" s="41"/>
      <c r="O613" s="41"/>
      <c r="P613" s="41"/>
      <c r="Q613" s="41"/>
      <c r="R613" s="41"/>
    </row>
    <row r="614">
      <c r="C614" s="35"/>
      <c r="E614" s="35"/>
      <c r="G614" s="35"/>
      <c r="I614" s="35"/>
      <c r="K614" s="35"/>
      <c r="L614" s="35"/>
      <c r="N614" s="41"/>
      <c r="O614" s="41"/>
      <c r="P614" s="41"/>
      <c r="Q614" s="41"/>
      <c r="R614" s="41"/>
    </row>
    <row r="615">
      <c r="C615" s="35"/>
      <c r="E615" s="35"/>
      <c r="G615" s="35"/>
      <c r="I615" s="35"/>
      <c r="K615" s="35"/>
      <c r="L615" s="35"/>
      <c r="N615" s="41"/>
      <c r="O615" s="41"/>
      <c r="P615" s="41"/>
      <c r="Q615" s="41"/>
      <c r="R615" s="41"/>
    </row>
    <row r="616">
      <c r="C616" s="35"/>
      <c r="E616" s="35"/>
      <c r="G616" s="35"/>
      <c r="I616" s="35"/>
      <c r="K616" s="35"/>
      <c r="L616" s="35"/>
      <c r="N616" s="41"/>
      <c r="O616" s="41"/>
      <c r="P616" s="41"/>
      <c r="Q616" s="41"/>
      <c r="R616" s="41"/>
    </row>
    <row r="617">
      <c r="C617" s="35"/>
      <c r="E617" s="35"/>
      <c r="G617" s="35"/>
      <c r="I617" s="35"/>
      <c r="K617" s="35"/>
      <c r="L617" s="35"/>
      <c r="N617" s="41"/>
      <c r="O617" s="41"/>
      <c r="P617" s="41"/>
      <c r="Q617" s="41"/>
      <c r="R617" s="41"/>
    </row>
    <row r="618">
      <c r="C618" s="35"/>
      <c r="E618" s="35"/>
      <c r="G618" s="35"/>
      <c r="I618" s="35"/>
      <c r="K618" s="35"/>
      <c r="L618" s="35"/>
      <c r="N618" s="41"/>
      <c r="O618" s="41"/>
      <c r="P618" s="41"/>
      <c r="Q618" s="41"/>
      <c r="R618" s="41"/>
    </row>
    <row r="619">
      <c r="C619" s="35"/>
      <c r="E619" s="35"/>
      <c r="G619" s="35"/>
      <c r="I619" s="35"/>
      <c r="K619" s="35"/>
      <c r="L619" s="35"/>
      <c r="N619" s="41"/>
      <c r="O619" s="41"/>
      <c r="P619" s="41"/>
      <c r="Q619" s="41"/>
      <c r="R619" s="41"/>
    </row>
    <row r="620">
      <c r="C620" s="35"/>
      <c r="E620" s="35"/>
      <c r="G620" s="35"/>
      <c r="I620" s="35"/>
      <c r="K620" s="35"/>
      <c r="L620" s="35"/>
      <c r="N620" s="41"/>
      <c r="O620" s="41"/>
      <c r="P620" s="41"/>
      <c r="Q620" s="41"/>
      <c r="R620" s="41"/>
    </row>
    <row r="621">
      <c r="C621" s="35"/>
      <c r="E621" s="35"/>
      <c r="G621" s="35"/>
      <c r="I621" s="35"/>
      <c r="K621" s="35"/>
      <c r="L621" s="35"/>
      <c r="N621" s="41"/>
      <c r="O621" s="41"/>
      <c r="P621" s="41"/>
      <c r="Q621" s="41"/>
      <c r="R621" s="41"/>
    </row>
    <row r="622">
      <c r="C622" s="35"/>
      <c r="E622" s="35"/>
      <c r="G622" s="35"/>
      <c r="I622" s="35"/>
      <c r="K622" s="35"/>
      <c r="L622" s="35"/>
      <c r="N622" s="41"/>
      <c r="O622" s="41"/>
      <c r="P622" s="41"/>
      <c r="Q622" s="41"/>
      <c r="R622" s="41"/>
    </row>
    <row r="623">
      <c r="C623" s="35"/>
      <c r="E623" s="35"/>
      <c r="G623" s="35"/>
      <c r="I623" s="35"/>
      <c r="K623" s="35"/>
      <c r="L623" s="35"/>
      <c r="N623" s="41"/>
      <c r="O623" s="41"/>
      <c r="P623" s="41"/>
      <c r="Q623" s="41"/>
      <c r="R623" s="41"/>
    </row>
    <row r="624">
      <c r="C624" s="35"/>
      <c r="E624" s="35"/>
      <c r="G624" s="35"/>
      <c r="I624" s="35"/>
      <c r="K624" s="35"/>
      <c r="L624" s="35"/>
      <c r="N624" s="41"/>
      <c r="O624" s="41"/>
      <c r="P624" s="41"/>
      <c r="Q624" s="41"/>
      <c r="R624" s="41"/>
    </row>
    <row r="625">
      <c r="C625" s="35"/>
      <c r="E625" s="35"/>
      <c r="G625" s="35"/>
      <c r="I625" s="35"/>
      <c r="K625" s="35"/>
      <c r="L625" s="35"/>
      <c r="N625" s="41"/>
      <c r="O625" s="41"/>
      <c r="P625" s="41"/>
      <c r="Q625" s="41"/>
      <c r="R625" s="41"/>
    </row>
    <row r="626">
      <c r="C626" s="35"/>
      <c r="E626" s="35"/>
      <c r="G626" s="35"/>
      <c r="I626" s="35"/>
      <c r="K626" s="35"/>
      <c r="L626" s="35"/>
      <c r="N626" s="41"/>
      <c r="O626" s="41"/>
      <c r="P626" s="41"/>
      <c r="Q626" s="41"/>
      <c r="R626" s="41"/>
    </row>
    <row r="627">
      <c r="C627" s="35"/>
      <c r="E627" s="35"/>
      <c r="G627" s="35"/>
      <c r="I627" s="35"/>
      <c r="K627" s="35"/>
      <c r="L627" s="35"/>
      <c r="N627" s="41"/>
      <c r="O627" s="41"/>
      <c r="P627" s="41"/>
      <c r="Q627" s="41"/>
      <c r="R627" s="41"/>
    </row>
    <row r="628">
      <c r="C628" s="35"/>
      <c r="E628" s="35"/>
      <c r="G628" s="35"/>
      <c r="I628" s="35"/>
      <c r="K628" s="35"/>
      <c r="L628" s="35"/>
      <c r="N628" s="41"/>
      <c r="O628" s="41"/>
      <c r="P628" s="41"/>
      <c r="Q628" s="41"/>
      <c r="R628" s="41"/>
    </row>
    <row r="629">
      <c r="C629" s="35"/>
      <c r="E629" s="35"/>
      <c r="G629" s="35"/>
      <c r="I629" s="35"/>
      <c r="K629" s="35"/>
      <c r="L629" s="35"/>
      <c r="N629" s="41"/>
      <c r="O629" s="41"/>
      <c r="P629" s="41"/>
      <c r="Q629" s="41"/>
      <c r="R629" s="41"/>
    </row>
    <row r="630">
      <c r="C630" s="35"/>
      <c r="E630" s="35"/>
      <c r="G630" s="35"/>
      <c r="I630" s="35"/>
      <c r="K630" s="35"/>
      <c r="L630" s="35"/>
      <c r="N630" s="41"/>
      <c r="O630" s="41"/>
      <c r="P630" s="41"/>
      <c r="Q630" s="41"/>
      <c r="R630" s="41"/>
    </row>
    <row r="631">
      <c r="C631" s="35"/>
      <c r="E631" s="35"/>
      <c r="G631" s="35"/>
      <c r="I631" s="35"/>
      <c r="K631" s="35"/>
      <c r="L631" s="35"/>
      <c r="N631" s="41"/>
      <c r="O631" s="41"/>
      <c r="P631" s="41"/>
      <c r="Q631" s="41"/>
      <c r="R631" s="41"/>
    </row>
    <row r="632">
      <c r="C632" s="35"/>
      <c r="E632" s="35"/>
      <c r="G632" s="35"/>
      <c r="I632" s="35"/>
      <c r="K632" s="35"/>
      <c r="L632" s="35"/>
      <c r="N632" s="41"/>
      <c r="O632" s="41"/>
      <c r="P632" s="41"/>
      <c r="Q632" s="41"/>
      <c r="R632" s="41"/>
    </row>
    <row r="633">
      <c r="C633" s="35"/>
      <c r="E633" s="35"/>
      <c r="G633" s="35"/>
      <c r="I633" s="35"/>
      <c r="K633" s="35"/>
      <c r="L633" s="35"/>
      <c r="N633" s="41"/>
      <c r="O633" s="41"/>
      <c r="P633" s="41"/>
      <c r="Q633" s="41"/>
      <c r="R633" s="41"/>
    </row>
    <row r="634">
      <c r="C634" s="35"/>
      <c r="E634" s="35"/>
      <c r="G634" s="35"/>
      <c r="I634" s="35"/>
      <c r="K634" s="35"/>
      <c r="L634" s="35"/>
      <c r="N634" s="41"/>
      <c r="O634" s="41"/>
      <c r="P634" s="41"/>
      <c r="Q634" s="41"/>
      <c r="R634" s="41"/>
    </row>
    <row r="635">
      <c r="C635" s="35"/>
      <c r="E635" s="35"/>
      <c r="G635" s="35"/>
      <c r="I635" s="35"/>
      <c r="K635" s="35"/>
      <c r="L635" s="35"/>
      <c r="N635" s="41"/>
      <c r="O635" s="41"/>
      <c r="P635" s="41"/>
      <c r="Q635" s="41"/>
      <c r="R635" s="41"/>
    </row>
    <row r="636">
      <c r="C636" s="35"/>
      <c r="E636" s="35"/>
      <c r="G636" s="35"/>
      <c r="I636" s="35"/>
      <c r="K636" s="35"/>
      <c r="L636" s="35"/>
      <c r="N636" s="41"/>
      <c r="O636" s="41"/>
      <c r="P636" s="41"/>
      <c r="Q636" s="41"/>
      <c r="R636" s="41"/>
    </row>
    <row r="637">
      <c r="C637" s="35"/>
      <c r="E637" s="35"/>
      <c r="G637" s="35"/>
      <c r="I637" s="35"/>
      <c r="K637" s="35"/>
      <c r="L637" s="35"/>
      <c r="N637" s="41"/>
      <c r="O637" s="41"/>
      <c r="P637" s="41"/>
      <c r="Q637" s="41"/>
      <c r="R637" s="41"/>
    </row>
    <row r="638">
      <c r="C638" s="35"/>
      <c r="E638" s="35"/>
      <c r="G638" s="35"/>
      <c r="I638" s="35"/>
      <c r="K638" s="35"/>
      <c r="L638" s="35"/>
      <c r="N638" s="41"/>
      <c r="O638" s="41"/>
      <c r="P638" s="41"/>
      <c r="Q638" s="41"/>
      <c r="R638" s="41"/>
    </row>
    <row r="639">
      <c r="C639" s="35"/>
      <c r="E639" s="35"/>
      <c r="G639" s="35"/>
      <c r="I639" s="35"/>
      <c r="K639" s="35"/>
      <c r="L639" s="35"/>
      <c r="N639" s="41"/>
      <c r="O639" s="41"/>
      <c r="P639" s="41"/>
      <c r="Q639" s="41"/>
      <c r="R639" s="41"/>
    </row>
    <row r="640">
      <c r="C640" s="35"/>
      <c r="E640" s="35"/>
      <c r="G640" s="35"/>
      <c r="I640" s="35"/>
      <c r="K640" s="35"/>
      <c r="L640" s="35"/>
      <c r="N640" s="41"/>
      <c r="O640" s="41"/>
      <c r="P640" s="41"/>
      <c r="Q640" s="41"/>
      <c r="R640" s="41"/>
    </row>
    <row r="641">
      <c r="C641" s="35"/>
      <c r="E641" s="35"/>
      <c r="G641" s="35"/>
      <c r="I641" s="35"/>
      <c r="K641" s="35"/>
      <c r="L641" s="35"/>
      <c r="N641" s="41"/>
      <c r="O641" s="41"/>
      <c r="P641" s="41"/>
      <c r="Q641" s="41"/>
      <c r="R641" s="41"/>
    </row>
    <row r="642">
      <c r="C642" s="35"/>
      <c r="E642" s="35"/>
      <c r="G642" s="35"/>
      <c r="I642" s="35"/>
      <c r="K642" s="35"/>
      <c r="L642" s="35"/>
      <c r="N642" s="41"/>
      <c r="O642" s="41"/>
      <c r="P642" s="41"/>
      <c r="Q642" s="41"/>
      <c r="R642" s="41"/>
    </row>
    <row r="643">
      <c r="C643" s="35"/>
      <c r="E643" s="35"/>
      <c r="G643" s="35"/>
      <c r="I643" s="35"/>
      <c r="K643" s="35"/>
      <c r="L643" s="35"/>
      <c r="N643" s="41"/>
      <c r="O643" s="41"/>
      <c r="P643" s="41"/>
      <c r="Q643" s="41"/>
      <c r="R643" s="41"/>
    </row>
    <row r="644">
      <c r="C644" s="35"/>
      <c r="E644" s="35"/>
      <c r="G644" s="35"/>
      <c r="I644" s="35"/>
      <c r="K644" s="35"/>
      <c r="L644" s="35"/>
      <c r="N644" s="41"/>
      <c r="O644" s="41"/>
      <c r="P644" s="41"/>
      <c r="Q644" s="41"/>
      <c r="R644" s="41"/>
    </row>
    <row r="645">
      <c r="C645" s="35"/>
      <c r="E645" s="35"/>
      <c r="G645" s="35"/>
      <c r="I645" s="35"/>
      <c r="K645" s="35"/>
      <c r="L645" s="35"/>
      <c r="N645" s="41"/>
      <c r="O645" s="41"/>
      <c r="P645" s="41"/>
      <c r="Q645" s="41"/>
      <c r="R645" s="41"/>
    </row>
    <row r="646">
      <c r="C646" s="35"/>
      <c r="E646" s="35"/>
      <c r="G646" s="35"/>
      <c r="I646" s="35"/>
      <c r="K646" s="35"/>
      <c r="L646" s="35"/>
      <c r="N646" s="41"/>
      <c r="O646" s="41"/>
      <c r="P646" s="41"/>
      <c r="Q646" s="41"/>
      <c r="R646" s="41"/>
    </row>
    <row r="647">
      <c r="C647" s="35"/>
      <c r="E647" s="35"/>
      <c r="G647" s="35"/>
      <c r="I647" s="35"/>
      <c r="K647" s="35"/>
      <c r="L647" s="35"/>
      <c r="N647" s="41"/>
      <c r="O647" s="41"/>
      <c r="P647" s="41"/>
      <c r="Q647" s="41"/>
      <c r="R647" s="41"/>
    </row>
    <row r="648">
      <c r="C648" s="35"/>
      <c r="E648" s="35"/>
      <c r="G648" s="35"/>
      <c r="I648" s="35"/>
      <c r="K648" s="35"/>
      <c r="L648" s="35"/>
      <c r="N648" s="41"/>
      <c r="O648" s="41"/>
      <c r="P648" s="41"/>
      <c r="Q648" s="41"/>
      <c r="R648" s="41"/>
    </row>
    <row r="649">
      <c r="C649" s="35"/>
      <c r="E649" s="35"/>
      <c r="G649" s="35"/>
      <c r="I649" s="35"/>
      <c r="K649" s="35"/>
      <c r="L649" s="35"/>
      <c r="N649" s="41"/>
      <c r="O649" s="41"/>
      <c r="P649" s="41"/>
      <c r="Q649" s="41"/>
      <c r="R649" s="41"/>
    </row>
    <row r="650">
      <c r="C650" s="35"/>
      <c r="E650" s="35"/>
      <c r="G650" s="35"/>
      <c r="I650" s="35"/>
      <c r="K650" s="35"/>
      <c r="L650" s="35"/>
      <c r="N650" s="41"/>
      <c r="O650" s="41"/>
      <c r="P650" s="41"/>
      <c r="Q650" s="41"/>
      <c r="R650" s="41"/>
    </row>
    <row r="651">
      <c r="C651" s="35"/>
      <c r="E651" s="35"/>
      <c r="G651" s="35"/>
      <c r="I651" s="35"/>
      <c r="K651" s="35"/>
      <c r="L651" s="35"/>
      <c r="N651" s="41"/>
      <c r="O651" s="41"/>
      <c r="P651" s="41"/>
      <c r="Q651" s="41"/>
      <c r="R651" s="41"/>
    </row>
    <row r="652">
      <c r="C652" s="35"/>
      <c r="E652" s="35"/>
      <c r="G652" s="35"/>
      <c r="I652" s="35"/>
      <c r="K652" s="35"/>
      <c r="L652" s="35"/>
      <c r="N652" s="41"/>
      <c r="O652" s="41"/>
      <c r="P652" s="41"/>
      <c r="Q652" s="41"/>
      <c r="R652" s="41"/>
    </row>
    <row r="653">
      <c r="C653" s="35"/>
      <c r="E653" s="35"/>
      <c r="G653" s="35"/>
      <c r="I653" s="35"/>
      <c r="K653" s="35"/>
      <c r="L653" s="35"/>
      <c r="N653" s="41"/>
      <c r="O653" s="41"/>
      <c r="P653" s="41"/>
      <c r="Q653" s="41"/>
      <c r="R653" s="41"/>
    </row>
    <row r="654">
      <c r="C654" s="35"/>
      <c r="E654" s="35"/>
      <c r="G654" s="35"/>
      <c r="I654" s="35"/>
      <c r="K654" s="35"/>
      <c r="L654" s="35"/>
      <c r="N654" s="41"/>
      <c r="O654" s="41"/>
      <c r="P654" s="41"/>
      <c r="Q654" s="41"/>
      <c r="R654" s="41"/>
    </row>
    <row r="655">
      <c r="C655" s="35"/>
      <c r="E655" s="35"/>
      <c r="G655" s="35"/>
      <c r="I655" s="35"/>
      <c r="K655" s="35"/>
      <c r="L655" s="35"/>
      <c r="N655" s="41"/>
      <c r="O655" s="41"/>
      <c r="P655" s="41"/>
      <c r="Q655" s="41"/>
      <c r="R655" s="41"/>
    </row>
    <row r="656">
      <c r="C656" s="35"/>
      <c r="E656" s="35"/>
      <c r="G656" s="35"/>
      <c r="I656" s="35"/>
      <c r="K656" s="35"/>
      <c r="L656" s="35"/>
      <c r="N656" s="41"/>
      <c r="O656" s="41"/>
      <c r="P656" s="41"/>
      <c r="Q656" s="41"/>
      <c r="R656" s="41"/>
    </row>
    <row r="657">
      <c r="C657" s="35"/>
      <c r="E657" s="35"/>
      <c r="G657" s="35"/>
      <c r="I657" s="35"/>
      <c r="K657" s="35"/>
      <c r="L657" s="35"/>
      <c r="N657" s="41"/>
      <c r="O657" s="41"/>
      <c r="P657" s="41"/>
      <c r="Q657" s="41"/>
      <c r="R657" s="41"/>
    </row>
    <row r="658">
      <c r="C658" s="35"/>
      <c r="E658" s="35"/>
      <c r="G658" s="35"/>
      <c r="I658" s="35"/>
      <c r="K658" s="35"/>
      <c r="L658" s="35"/>
      <c r="N658" s="41"/>
      <c r="O658" s="41"/>
      <c r="P658" s="41"/>
      <c r="Q658" s="41"/>
      <c r="R658" s="41"/>
    </row>
    <row r="659">
      <c r="C659" s="35"/>
      <c r="E659" s="35"/>
      <c r="G659" s="35"/>
      <c r="I659" s="35"/>
      <c r="K659" s="35"/>
      <c r="L659" s="35"/>
      <c r="N659" s="41"/>
      <c r="O659" s="41"/>
      <c r="P659" s="41"/>
      <c r="Q659" s="41"/>
      <c r="R659" s="41"/>
    </row>
    <row r="660">
      <c r="C660" s="35"/>
      <c r="E660" s="35"/>
      <c r="G660" s="35"/>
      <c r="I660" s="35"/>
      <c r="K660" s="35"/>
      <c r="L660" s="35"/>
      <c r="N660" s="41"/>
      <c r="O660" s="41"/>
      <c r="P660" s="41"/>
      <c r="Q660" s="41"/>
      <c r="R660" s="41"/>
    </row>
    <row r="661">
      <c r="C661" s="35"/>
      <c r="E661" s="35"/>
      <c r="G661" s="35"/>
      <c r="I661" s="35"/>
      <c r="K661" s="35"/>
      <c r="L661" s="35"/>
      <c r="N661" s="41"/>
      <c r="O661" s="41"/>
      <c r="P661" s="41"/>
      <c r="Q661" s="41"/>
      <c r="R661" s="41"/>
    </row>
    <row r="662">
      <c r="C662" s="35"/>
      <c r="E662" s="35"/>
      <c r="G662" s="35"/>
      <c r="I662" s="35"/>
      <c r="K662" s="35"/>
      <c r="L662" s="35"/>
      <c r="N662" s="41"/>
      <c r="O662" s="41"/>
      <c r="P662" s="41"/>
      <c r="Q662" s="41"/>
      <c r="R662" s="41"/>
    </row>
    <row r="663">
      <c r="C663" s="35"/>
      <c r="E663" s="35"/>
      <c r="G663" s="35"/>
      <c r="I663" s="35"/>
      <c r="K663" s="35"/>
      <c r="L663" s="35"/>
      <c r="N663" s="41"/>
      <c r="O663" s="41"/>
      <c r="P663" s="41"/>
      <c r="Q663" s="41"/>
      <c r="R663" s="41"/>
    </row>
    <row r="664">
      <c r="C664" s="35"/>
      <c r="E664" s="35"/>
      <c r="G664" s="35"/>
      <c r="I664" s="35"/>
      <c r="K664" s="35"/>
      <c r="L664" s="35"/>
      <c r="N664" s="41"/>
      <c r="O664" s="41"/>
      <c r="P664" s="41"/>
      <c r="Q664" s="41"/>
      <c r="R664" s="41"/>
    </row>
    <row r="665">
      <c r="C665" s="35"/>
      <c r="E665" s="35"/>
      <c r="G665" s="35"/>
      <c r="I665" s="35"/>
      <c r="K665" s="35"/>
      <c r="L665" s="35"/>
      <c r="N665" s="41"/>
      <c r="O665" s="41"/>
      <c r="P665" s="41"/>
      <c r="Q665" s="41"/>
      <c r="R665" s="41"/>
    </row>
    <row r="666">
      <c r="C666" s="35"/>
      <c r="E666" s="35"/>
      <c r="G666" s="35"/>
      <c r="I666" s="35"/>
      <c r="K666" s="35"/>
      <c r="L666" s="35"/>
      <c r="N666" s="41"/>
      <c r="O666" s="41"/>
      <c r="P666" s="41"/>
      <c r="Q666" s="41"/>
      <c r="R666" s="41"/>
    </row>
    <row r="667">
      <c r="C667" s="35"/>
      <c r="E667" s="35"/>
      <c r="G667" s="35"/>
      <c r="I667" s="35"/>
      <c r="K667" s="35"/>
      <c r="L667" s="35"/>
      <c r="N667" s="41"/>
      <c r="O667" s="41"/>
      <c r="P667" s="41"/>
      <c r="Q667" s="41"/>
      <c r="R667" s="41"/>
    </row>
    <row r="668">
      <c r="C668" s="35"/>
      <c r="E668" s="35"/>
      <c r="G668" s="35"/>
      <c r="I668" s="35"/>
      <c r="K668" s="35"/>
      <c r="L668" s="35"/>
      <c r="N668" s="41"/>
      <c r="O668" s="41"/>
      <c r="P668" s="41"/>
      <c r="Q668" s="41"/>
      <c r="R668" s="41"/>
    </row>
    <row r="669">
      <c r="C669" s="35"/>
      <c r="E669" s="35"/>
      <c r="G669" s="35"/>
      <c r="I669" s="35"/>
      <c r="K669" s="35"/>
      <c r="L669" s="35"/>
      <c r="N669" s="41"/>
      <c r="O669" s="41"/>
      <c r="P669" s="41"/>
      <c r="Q669" s="41"/>
      <c r="R669" s="41"/>
    </row>
    <row r="670">
      <c r="C670" s="35"/>
      <c r="E670" s="35"/>
      <c r="G670" s="35"/>
      <c r="I670" s="35"/>
      <c r="K670" s="35"/>
      <c r="L670" s="35"/>
      <c r="N670" s="41"/>
      <c r="O670" s="41"/>
      <c r="P670" s="41"/>
      <c r="Q670" s="41"/>
      <c r="R670" s="41"/>
    </row>
    <row r="671">
      <c r="C671" s="35"/>
      <c r="E671" s="35"/>
      <c r="G671" s="35"/>
      <c r="I671" s="35"/>
      <c r="K671" s="35"/>
      <c r="L671" s="35"/>
      <c r="N671" s="41"/>
      <c r="O671" s="41"/>
      <c r="P671" s="41"/>
      <c r="Q671" s="41"/>
      <c r="R671" s="41"/>
    </row>
    <row r="672">
      <c r="C672" s="35"/>
      <c r="E672" s="35"/>
      <c r="G672" s="35"/>
      <c r="I672" s="35"/>
      <c r="K672" s="35"/>
      <c r="L672" s="35"/>
      <c r="N672" s="41"/>
      <c r="O672" s="41"/>
      <c r="P672" s="41"/>
      <c r="Q672" s="41"/>
      <c r="R672" s="41"/>
    </row>
    <row r="673">
      <c r="C673" s="35"/>
      <c r="E673" s="35"/>
      <c r="G673" s="35"/>
      <c r="I673" s="35"/>
      <c r="K673" s="35"/>
      <c r="L673" s="35"/>
      <c r="N673" s="41"/>
      <c r="O673" s="41"/>
      <c r="P673" s="41"/>
      <c r="Q673" s="41"/>
      <c r="R673" s="41"/>
    </row>
    <row r="674">
      <c r="C674" s="35"/>
      <c r="E674" s="35"/>
      <c r="G674" s="35"/>
      <c r="I674" s="35"/>
      <c r="K674" s="35"/>
      <c r="L674" s="35"/>
      <c r="N674" s="41"/>
      <c r="O674" s="41"/>
      <c r="P674" s="41"/>
      <c r="Q674" s="41"/>
      <c r="R674" s="41"/>
    </row>
    <row r="675">
      <c r="C675" s="35"/>
      <c r="E675" s="35"/>
      <c r="G675" s="35"/>
      <c r="I675" s="35"/>
      <c r="K675" s="35"/>
      <c r="L675" s="35"/>
      <c r="N675" s="41"/>
      <c r="O675" s="41"/>
      <c r="P675" s="41"/>
      <c r="Q675" s="41"/>
      <c r="R675" s="41"/>
    </row>
    <row r="676">
      <c r="C676" s="35"/>
      <c r="E676" s="35"/>
      <c r="G676" s="35"/>
      <c r="I676" s="35"/>
      <c r="K676" s="35"/>
      <c r="L676" s="35"/>
      <c r="N676" s="41"/>
      <c r="O676" s="41"/>
      <c r="P676" s="41"/>
      <c r="Q676" s="41"/>
      <c r="R676" s="41"/>
    </row>
    <row r="677">
      <c r="C677" s="35"/>
      <c r="E677" s="35"/>
      <c r="G677" s="35"/>
      <c r="I677" s="35"/>
      <c r="K677" s="35"/>
      <c r="L677" s="35"/>
      <c r="N677" s="41"/>
      <c r="O677" s="41"/>
      <c r="P677" s="41"/>
      <c r="Q677" s="41"/>
      <c r="R677" s="41"/>
    </row>
    <row r="678">
      <c r="C678" s="35"/>
      <c r="E678" s="35"/>
      <c r="G678" s="35"/>
      <c r="I678" s="35"/>
      <c r="K678" s="35"/>
      <c r="L678" s="35"/>
      <c r="N678" s="41"/>
      <c r="O678" s="41"/>
      <c r="P678" s="41"/>
      <c r="Q678" s="41"/>
      <c r="R678" s="41"/>
    </row>
    <row r="679">
      <c r="C679" s="35"/>
      <c r="E679" s="35"/>
      <c r="G679" s="35"/>
      <c r="I679" s="35"/>
      <c r="K679" s="35"/>
      <c r="L679" s="35"/>
      <c r="N679" s="41"/>
      <c r="O679" s="41"/>
      <c r="P679" s="41"/>
      <c r="Q679" s="41"/>
      <c r="R679" s="41"/>
    </row>
    <row r="680">
      <c r="C680" s="35"/>
      <c r="E680" s="35"/>
      <c r="G680" s="35"/>
      <c r="I680" s="35"/>
      <c r="K680" s="35"/>
      <c r="L680" s="35"/>
      <c r="N680" s="41"/>
      <c r="O680" s="41"/>
      <c r="P680" s="41"/>
      <c r="Q680" s="41"/>
      <c r="R680" s="41"/>
    </row>
    <row r="681">
      <c r="C681" s="35"/>
      <c r="E681" s="35"/>
      <c r="G681" s="35"/>
      <c r="I681" s="35"/>
      <c r="K681" s="35"/>
      <c r="L681" s="35"/>
      <c r="N681" s="41"/>
      <c r="O681" s="41"/>
      <c r="P681" s="41"/>
      <c r="Q681" s="41"/>
      <c r="R681" s="41"/>
    </row>
    <row r="682">
      <c r="C682" s="35"/>
      <c r="E682" s="35"/>
      <c r="G682" s="35"/>
      <c r="I682" s="35"/>
      <c r="K682" s="35"/>
      <c r="L682" s="35"/>
      <c r="N682" s="41"/>
      <c r="O682" s="41"/>
      <c r="P682" s="41"/>
      <c r="Q682" s="41"/>
      <c r="R682" s="41"/>
    </row>
    <row r="683">
      <c r="C683" s="35"/>
      <c r="E683" s="35"/>
      <c r="G683" s="35"/>
      <c r="I683" s="35"/>
      <c r="K683" s="35"/>
      <c r="L683" s="35"/>
      <c r="N683" s="41"/>
      <c r="O683" s="41"/>
      <c r="P683" s="41"/>
      <c r="Q683" s="41"/>
      <c r="R683" s="41"/>
    </row>
    <row r="684">
      <c r="C684" s="35"/>
      <c r="E684" s="35"/>
      <c r="G684" s="35"/>
      <c r="I684" s="35"/>
      <c r="K684" s="35"/>
      <c r="L684" s="35"/>
      <c r="N684" s="41"/>
      <c r="O684" s="41"/>
      <c r="P684" s="41"/>
      <c r="Q684" s="41"/>
      <c r="R684" s="41"/>
    </row>
    <row r="685">
      <c r="C685" s="35"/>
      <c r="E685" s="35"/>
      <c r="G685" s="35"/>
      <c r="I685" s="35"/>
      <c r="K685" s="35"/>
      <c r="L685" s="35"/>
      <c r="N685" s="41"/>
      <c r="O685" s="41"/>
      <c r="P685" s="41"/>
      <c r="Q685" s="41"/>
      <c r="R685" s="41"/>
    </row>
    <row r="686">
      <c r="C686" s="35"/>
      <c r="E686" s="35"/>
      <c r="G686" s="35"/>
      <c r="I686" s="35"/>
      <c r="K686" s="35"/>
      <c r="L686" s="35"/>
      <c r="N686" s="41"/>
      <c r="O686" s="41"/>
      <c r="P686" s="41"/>
      <c r="Q686" s="41"/>
      <c r="R686" s="41"/>
    </row>
    <row r="687">
      <c r="C687" s="35"/>
      <c r="E687" s="35"/>
      <c r="G687" s="35"/>
      <c r="I687" s="35"/>
      <c r="K687" s="35"/>
      <c r="L687" s="35"/>
      <c r="N687" s="41"/>
      <c r="O687" s="41"/>
      <c r="P687" s="41"/>
      <c r="Q687" s="41"/>
      <c r="R687" s="41"/>
    </row>
    <row r="688">
      <c r="C688" s="35"/>
      <c r="E688" s="35"/>
      <c r="G688" s="35"/>
      <c r="I688" s="35"/>
      <c r="K688" s="35"/>
      <c r="L688" s="35"/>
      <c r="N688" s="41"/>
      <c r="O688" s="41"/>
      <c r="P688" s="41"/>
      <c r="Q688" s="41"/>
      <c r="R688" s="41"/>
    </row>
    <row r="689">
      <c r="C689" s="35"/>
      <c r="E689" s="35"/>
      <c r="G689" s="35"/>
      <c r="I689" s="35"/>
      <c r="K689" s="35"/>
      <c r="L689" s="35"/>
      <c r="N689" s="41"/>
      <c r="O689" s="41"/>
      <c r="P689" s="41"/>
      <c r="Q689" s="41"/>
      <c r="R689" s="41"/>
    </row>
    <row r="690">
      <c r="C690" s="35"/>
      <c r="E690" s="35"/>
      <c r="G690" s="35"/>
      <c r="I690" s="35"/>
      <c r="K690" s="35"/>
      <c r="L690" s="35"/>
      <c r="N690" s="41"/>
      <c r="O690" s="41"/>
      <c r="P690" s="41"/>
      <c r="Q690" s="41"/>
      <c r="R690" s="41"/>
    </row>
    <row r="691">
      <c r="C691" s="35"/>
      <c r="E691" s="35"/>
      <c r="G691" s="35"/>
      <c r="I691" s="35"/>
      <c r="K691" s="35"/>
      <c r="L691" s="35"/>
      <c r="N691" s="41"/>
      <c r="O691" s="41"/>
      <c r="P691" s="41"/>
      <c r="Q691" s="41"/>
      <c r="R691" s="41"/>
    </row>
    <row r="692">
      <c r="C692" s="35"/>
      <c r="E692" s="35"/>
      <c r="G692" s="35"/>
      <c r="I692" s="35"/>
      <c r="K692" s="35"/>
      <c r="L692" s="35"/>
      <c r="N692" s="41"/>
      <c r="O692" s="41"/>
      <c r="P692" s="41"/>
      <c r="Q692" s="41"/>
      <c r="R692" s="41"/>
    </row>
    <row r="693">
      <c r="C693" s="35"/>
      <c r="E693" s="35"/>
      <c r="G693" s="35"/>
      <c r="I693" s="35"/>
      <c r="K693" s="35"/>
      <c r="L693" s="35"/>
      <c r="N693" s="41"/>
      <c r="O693" s="41"/>
      <c r="P693" s="41"/>
      <c r="Q693" s="41"/>
      <c r="R693" s="41"/>
    </row>
    <row r="694">
      <c r="C694" s="35"/>
      <c r="E694" s="35"/>
      <c r="G694" s="35"/>
      <c r="I694" s="35"/>
      <c r="K694" s="35"/>
      <c r="L694" s="35"/>
      <c r="N694" s="41"/>
      <c r="O694" s="41"/>
      <c r="P694" s="41"/>
      <c r="Q694" s="41"/>
      <c r="R694" s="41"/>
    </row>
    <row r="695">
      <c r="C695" s="35"/>
      <c r="E695" s="35"/>
      <c r="G695" s="35"/>
      <c r="I695" s="35"/>
      <c r="K695" s="35"/>
      <c r="L695" s="35"/>
      <c r="N695" s="41"/>
      <c r="O695" s="41"/>
      <c r="P695" s="41"/>
      <c r="Q695" s="41"/>
      <c r="R695" s="41"/>
    </row>
    <row r="696">
      <c r="C696" s="35"/>
      <c r="E696" s="35"/>
      <c r="G696" s="35"/>
      <c r="I696" s="35"/>
      <c r="K696" s="35"/>
      <c r="L696" s="35"/>
      <c r="N696" s="41"/>
      <c r="O696" s="41"/>
      <c r="P696" s="41"/>
      <c r="Q696" s="41"/>
      <c r="R696" s="41"/>
    </row>
    <row r="697">
      <c r="C697" s="35"/>
      <c r="E697" s="35"/>
      <c r="G697" s="35"/>
      <c r="I697" s="35"/>
      <c r="K697" s="35"/>
      <c r="L697" s="35"/>
      <c r="N697" s="41"/>
      <c r="O697" s="41"/>
      <c r="P697" s="41"/>
      <c r="Q697" s="41"/>
      <c r="R697" s="41"/>
    </row>
    <row r="698">
      <c r="C698" s="35"/>
      <c r="E698" s="35"/>
      <c r="G698" s="35"/>
      <c r="I698" s="35"/>
      <c r="K698" s="35"/>
      <c r="L698" s="35"/>
      <c r="N698" s="41"/>
      <c r="O698" s="41"/>
      <c r="P698" s="41"/>
      <c r="Q698" s="41"/>
      <c r="R698" s="41"/>
    </row>
    <row r="699">
      <c r="C699" s="35"/>
      <c r="E699" s="35"/>
      <c r="G699" s="35"/>
      <c r="I699" s="35"/>
      <c r="K699" s="35"/>
      <c r="L699" s="35"/>
      <c r="N699" s="41"/>
      <c r="O699" s="41"/>
      <c r="P699" s="41"/>
      <c r="Q699" s="41"/>
      <c r="R699" s="41"/>
    </row>
    <row r="700">
      <c r="C700" s="35"/>
      <c r="E700" s="35"/>
      <c r="G700" s="35"/>
      <c r="I700" s="35"/>
      <c r="K700" s="35"/>
      <c r="L700" s="35"/>
      <c r="N700" s="41"/>
      <c r="O700" s="41"/>
      <c r="P700" s="41"/>
      <c r="Q700" s="41"/>
      <c r="R700" s="41"/>
    </row>
    <row r="701">
      <c r="C701" s="35"/>
      <c r="E701" s="35"/>
      <c r="G701" s="35"/>
      <c r="I701" s="35"/>
      <c r="K701" s="35"/>
      <c r="L701" s="35"/>
      <c r="N701" s="41"/>
      <c r="O701" s="41"/>
      <c r="P701" s="41"/>
      <c r="Q701" s="41"/>
      <c r="R701" s="41"/>
    </row>
    <row r="702">
      <c r="C702" s="35"/>
      <c r="E702" s="35"/>
      <c r="G702" s="35"/>
      <c r="I702" s="35"/>
      <c r="K702" s="35"/>
      <c r="L702" s="35"/>
      <c r="N702" s="41"/>
      <c r="O702" s="41"/>
      <c r="P702" s="41"/>
      <c r="Q702" s="41"/>
      <c r="R702" s="41"/>
    </row>
    <row r="703">
      <c r="C703" s="35"/>
      <c r="E703" s="35"/>
      <c r="G703" s="35"/>
      <c r="I703" s="35"/>
      <c r="K703" s="35"/>
      <c r="L703" s="35"/>
      <c r="N703" s="41"/>
      <c r="O703" s="41"/>
      <c r="P703" s="41"/>
      <c r="Q703" s="41"/>
      <c r="R703" s="41"/>
    </row>
    <row r="704">
      <c r="C704" s="35"/>
      <c r="E704" s="35"/>
      <c r="G704" s="35"/>
      <c r="I704" s="35"/>
      <c r="K704" s="35"/>
      <c r="L704" s="35"/>
      <c r="N704" s="41"/>
      <c r="O704" s="41"/>
      <c r="P704" s="41"/>
      <c r="Q704" s="41"/>
      <c r="R704" s="41"/>
    </row>
    <row r="705">
      <c r="C705" s="35"/>
      <c r="E705" s="35"/>
      <c r="G705" s="35"/>
      <c r="I705" s="35"/>
      <c r="K705" s="35"/>
      <c r="L705" s="35"/>
      <c r="N705" s="41"/>
      <c r="O705" s="41"/>
      <c r="P705" s="41"/>
      <c r="Q705" s="41"/>
      <c r="R705" s="41"/>
    </row>
    <row r="706">
      <c r="C706" s="35"/>
      <c r="E706" s="35"/>
      <c r="G706" s="35"/>
      <c r="I706" s="35"/>
      <c r="K706" s="35"/>
      <c r="L706" s="35"/>
      <c r="N706" s="41"/>
      <c r="O706" s="41"/>
      <c r="P706" s="41"/>
      <c r="Q706" s="41"/>
      <c r="R706" s="41"/>
    </row>
    <row r="707">
      <c r="C707" s="35"/>
      <c r="E707" s="35"/>
      <c r="G707" s="35"/>
      <c r="I707" s="35"/>
      <c r="K707" s="35"/>
      <c r="L707" s="35"/>
      <c r="N707" s="41"/>
      <c r="O707" s="41"/>
      <c r="P707" s="41"/>
      <c r="Q707" s="41"/>
      <c r="R707" s="41"/>
    </row>
    <row r="708">
      <c r="C708" s="35"/>
      <c r="E708" s="35"/>
      <c r="G708" s="35"/>
      <c r="I708" s="35"/>
      <c r="K708" s="35"/>
      <c r="L708" s="35"/>
      <c r="N708" s="41"/>
      <c r="O708" s="41"/>
      <c r="P708" s="41"/>
      <c r="Q708" s="41"/>
      <c r="R708" s="41"/>
    </row>
    <row r="709">
      <c r="C709" s="35"/>
      <c r="E709" s="35"/>
      <c r="G709" s="35"/>
      <c r="I709" s="35"/>
      <c r="K709" s="35"/>
      <c r="L709" s="35"/>
      <c r="N709" s="41"/>
      <c r="O709" s="41"/>
      <c r="P709" s="41"/>
      <c r="Q709" s="41"/>
      <c r="R709" s="41"/>
    </row>
    <row r="710">
      <c r="C710" s="35"/>
      <c r="E710" s="35"/>
      <c r="G710" s="35"/>
      <c r="I710" s="35"/>
      <c r="K710" s="35"/>
      <c r="L710" s="35"/>
      <c r="N710" s="41"/>
      <c r="O710" s="41"/>
      <c r="P710" s="41"/>
      <c r="Q710" s="41"/>
      <c r="R710" s="41"/>
    </row>
    <row r="711">
      <c r="C711" s="35"/>
      <c r="E711" s="35"/>
      <c r="G711" s="35"/>
      <c r="I711" s="35"/>
      <c r="K711" s="35"/>
      <c r="L711" s="35"/>
      <c r="N711" s="41"/>
      <c r="O711" s="41"/>
      <c r="P711" s="41"/>
      <c r="Q711" s="41"/>
      <c r="R711" s="41"/>
    </row>
    <row r="712">
      <c r="C712" s="35"/>
      <c r="E712" s="35"/>
      <c r="G712" s="35"/>
      <c r="I712" s="35"/>
      <c r="K712" s="35"/>
      <c r="L712" s="35"/>
      <c r="N712" s="41"/>
      <c r="O712" s="41"/>
      <c r="P712" s="41"/>
      <c r="Q712" s="41"/>
      <c r="R712" s="41"/>
    </row>
    <row r="713">
      <c r="C713" s="35"/>
      <c r="E713" s="35"/>
      <c r="G713" s="35"/>
      <c r="I713" s="35"/>
      <c r="K713" s="35"/>
      <c r="L713" s="35"/>
      <c r="N713" s="41"/>
      <c r="O713" s="41"/>
      <c r="P713" s="41"/>
      <c r="Q713" s="41"/>
      <c r="R713" s="41"/>
    </row>
    <row r="714">
      <c r="C714" s="35"/>
      <c r="E714" s="35"/>
      <c r="G714" s="35"/>
      <c r="I714" s="35"/>
      <c r="K714" s="35"/>
      <c r="L714" s="35"/>
      <c r="N714" s="41"/>
      <c r="O714" s="41"/>
      <c r="P714" s="41"/>
      <c r="Q714" s="41"/>
      <c r="R714" s="41"/>
    </row>
    <row r="715">
      <c r="C715" s="35"/>
      <c r="E715" s="35"/>
      <c r="G715" s="35"/>
      <c r="I715" s="35"/>
      <c r="K715" s="35"/>
      <c r="L715" s="35"/>
      <c r="N715" s="41"/>
      <c r="O715" s="41"/>
      <c r="P715" s="41"/>
      <c r="Q715" s="41"/>
      <c r="R715" s="41"/>
    </row>
    <row r="716">
      <c r="C716" s="35"/>
      <c r="E716" s="35"/>
      <c r="G716" s="35"/>
      <c r="I716" s="35"/>
      <c r="K716" s="35"/>
      <c r="L716" s="35"/>
      <c r="N716" s="41"/>
      <c r="O716" s="41"/>
      <c r="P716" s="41"/>
      <c r="Q716" s="41"/>
      <c r="R716" s="41"/>
    </row>
    <row r="717">
      <c r="C717" s="35"/>
      <c r="E717" s="35"/>
      <c r="G717" s="35"/>
      <c r="I717" s="35"/>
      <c r="K717" s="35"/>
      <c r="L717" s="35"/>
      <c r="N717" s="41"/>
      <c r="O717" s="41"/>
      <c r="P717" s="41"/>
      <c r="Q717" s="41"/>
      <c r="R717" s="41"/>
    </row>
    <row r="718">
      <c r="C718" s="35"/>
      <c r="E718" s="35"/>
      <c r="G718" s="35"/>
      <c r="I718" s="35"/>
      <c r="K718" s="35"/>
      <c r="L718" s="35"/>
      <c r="N718" s="41"/>
      <c r="O718" s="41"/>
      <c r="P718" s="41"/>
      <c r="Q718" s="41"/>
      <c r="R718" s="41"/>
    </row>
    <row r="719">
      <c r="C719" s="35"/>
      <c r="E719" s="35"/>
      <c r="G719" s="35"/>
      <c r="I719" s="35"/>
      <c r="K719" s="35"/>
      <c r="L719" s="35"/>
      <c r="N719" s="41"/>
      <c r="O719" s="41"/>
      <c r="P719" s="41"/>
      <c r="Q719" s="41"/>
      <c r="R719" s="41"/>
    </row>
    <row r="720">
      <c r="C720" s="35"/>
      <c r="E720" s="35"/>
      <c r="G720" s="35"/>
      <c r="I720" s="35"/>
      <c r="K720" s="35"/>
      <c r="L720" s="35"/>
      <c r="N720" s="41"/>
      <c r="O720" s="41"/>
      <c r="P720" s="41"/>
      <c r="Q720" s="41"/>
      <c r="R720" s="41"/>
    </row>
    <row r="721">
      <c r="C721" s="35"/>
      <c r="E721" s="35"/>
      <c r="G721" s="35"/>
      <c r="I721" s="35"/>
      <c r="K721" s="35"/>
      <c r="L721" s="35"/>
      <c r="N721" s="41"/>
      <c r="O721" s="41"/>
      <c r="P721" s="41"/>
      <c r="Q721" s="41"/>
      <c r="R721" s="41"/>
    </row>
    <row r="722">
      <c r="C722" s="35"/>
      <c r="E722" s="35"/>
      <c r="G722" s="35"/>
      <c r="I722" s="35"/>
      <c r="K722" s="35"/>
      <c r="L722" s="35"/>
      <c r="N722" s="41"/>
      <c r="O722" s="41"/>
      <c r="P722" s="41"/>
      <c r="Q722" s="41"/>
      <c r="R722" s="41"/>
    </row>
    <row r="723">
      <c r="C723" s="35"/>
      <c r="E723" s="35"/>
      <c r="G723" s="35"/>
      <c r="I723" s="35"/>
      <c r="K723" s="35"/>
      <c r="L723" s="35"/>
      <c r="N723" s="41"/>
      <c r="O723" s="41"/>
      <c r="P723" s="41"/>
      <c r="Q723" s="41"/>
      <c r="R723" s="41"/>
    </row>
    <row r="724">
      <c r="C724" s="35"/>
      <c r="E724" s="35"/>
      <c r="G724" s="35"/>
      <c r="I724" s="35"/>
      <c r="K724" s="35"/>
      <c r="L724" s="35"/>
      <c r="N724" s="41"/>
      <c r="O724" s="41"/>
      <c r="P724" s="41"/>
      <c r="Q724" s="41"/>
      <c r="R724" s="41"/>
    </row>
    <row r="725">
      <c r="C725" s="35"/>
      <c r="E725" s="35"/>
      <c r="G725" s="35"/>
      <c r="I725" s="35"/>
      <c r="K725" s="35"/>
      <c r="L725" s="35"/>
      <c r="N725" s="41"/>
      <c r="O725" s="41"/>
      <c r="P725" s="41"/>
      <c r="Q725" s="41"/>
      <c r="R725" s="41"/>
    </row>
    <row r="726">
      <c r="C726" s="35"/>
      <c r="E726" s="35"/>
      <c r="G726" s="35"/>
      <c r="I726" s="35"/>
      <c r="K726" s="35"/>
      <c r="L726" s="35"/>
      <c r="N726" s="41"/>
      <c r="O726" s="41"/>
      <c r="P726" s="41"/>
      <c r="Q726" s="41"/>
      <c r="R726" s="41"/>
    </row>
    <row r="727">
      <c r="C727" s="35"/>
      <c r="E727" s="35"/>
      <c r="G727" s="35"/>
      <c r="I727" s="35"/>
      <c r="K727" s="35"/>
      <c r="L727" s="35"/>
      <c r="N727" s="41"/>
      <c r="O727" s="41"/>
      <c r="P727" s="41"/>
      <c r="Q727" s="41"/>
      <c r="R727" s="41"/>
    </row>
    <row r="728">
      <c r="C728" s="35"/>
      <c r="E728" s="35"/>
      <c r="G728" s="35"/>
      <c r="I728" s="35"/>
      <c r="K728" s="35"/>
      <c r="L728" s="35"/>
      <c r="N728" s="41"/>
      <c r="O728" s="41"/>
      <c r="P728" s="41"/>
      <c r="Q728" s="41"/>
      <c r="R728" s="41"/>
    </row>
    <row r="729">
      <c r="C729" s="35"/>
      <c r="E729" s="35"/>
      <c r="G729" s="35"/>
      <c r="I729" s="35"/>
      <c r="K729" s="35"/>
      <c r="L729" s="35"/>
      <c r="N729" s="41"/>
      <c r="O729" s="41"/>
      <c r="P729" s="41"/>
      <c r="Q729" s="41"/>
      <c r="R729" s="41"/>
    </row>
    <row r="730">
      <c r="C730" s="35"/>
      <c r="E730" s="35"/>
      <c r="G730" s="35"/>
      <c r="I730" s="35"/>
      <c r="K730" s="35"/>
      <c r="L730" s="35"/>
      <c r="N730" s="41"/>
      <c r="O730" s="41"/>
      <c r="P730" s="41"/>
      <c r="Q730" s="41"/>
      <c r="R730" s="41"/>
    </row>
    <row r="731">
      <c r="C731" s="35"/>
      <c r="E731" s="35"/>
      <c r="G731" s="35"/>
      <c r="I731" s="35"/>
      <c r="K731" s="35"/>
      <c r="L731" s="35"/>
      <c r="N731" s="41"/>
      <c r="O731" s="41"/>
      <c r="P731" s="41"/>
      <c r="Q731" s="41"/>
      <c r="R731" s="41"/>
    </row>
    <row r="732">
      <c r="C732" s="35"/>
      <c r="E732" s="35"/>
      <c r="G732" s="35"/>
      <c r="I732" s="35"/>
      <c r="K732" s="35"/>
      <c r="L732" s="35"/>
      <c r="N732" s="41"/>
      <c r="O732" s="41"/>
      <c r="P732" s="41"/>
      <c r="Q732" s="41"/>
      <c r="R732" s="41"/>
    </row>
    <row r="733">
      <c r="C733" s="35"/>
      <c r="E733" s="35"/>
      <c r="G733" s="35"/>
      <c r="I733" s="35"/>
      <c r="K733" s="35"/>
      <c r="L733" s="35"/>
      <c r="N733" s="41"/>
      <c r="O733" s="41"/>
      <c r="P733" s="41"/>
      <c r="Q733" s="41"/>
      <c r="R733" s="41"/>
    </row>
    <row r="734">
      <c r="C734" s="35"/>
      <c r="E734" s="35"/>
      <c r="G734" s="35"/>
      <c r="I734" s="35"/>
      <c r="K734" s="35"/>
      <c r="L734" s="35"/>
      <c r="N734" s="41"/>
      <c r="O734" s="41"/>
      <c r="P734" s="41"/>
      <c r="Q734" s="41"/>
      <c r="R734" s="41"/>
    </row>
    <row r="735">
      <c r="C735" s="35"/>
      <c r="E735" s="35"/>
      <c r="G735" s="35"/>
      <c r="I735" s="35"/>
      <c r="K735" s="35"/>
      <c r="L735" s="35"/>
      <c r="N735" s="41"/>
      <c r="O735" s="41"/>
      <c r="P735" s="41"/>
      <c r="Q735" s="41"/>
      <c r="R735" s="41"/>
    </row>
    <row r="736">
      <c r="C736" s="35"/>
      <c r="E736" s="35"/>
      <c r="G736" s="35"/>
      <c r="I736" s="35"/>
      <c r="K736" s="35"/>
      <c r="L736" s="35"/>
      <c r="N736" s="41"/>
      <c r="O736" s="41"/>
      <c r="P736" s="41"/>
      <c r="Q736" s="41"/>
      <c r="R736" s="41"/>
    </row>
    <row r="737">
      <c r="C737" s="35"/>
      <c r="E737" s="35"/>
      <c r="G737" s="35"/>
      <c r="I737" s="35"/>
      <c r="K737" s="35"/>
      <c r="L737" s="35"/>
      <c r="N737" s="41"/>
      <c r="O737" s="41"/>
      <c r="P737" s="41"/>
      <c r="Q737" s="41"/>
      <c r="R737" s="41"/>
    </row>
    <row r="738">
      <c r="C738" s="35"/>
      <c r="E738" s="35"/>
      <c r="G738" s="35"/>
      <c r="I738" s="35"/>
      <c r="K738" s="35"/>
      <c r="L738" s="35"/>
      <c r="N738" s="41"/>
      <c r="O738" s="41"/>
      <c r="P738" s="41"/>
      <c r="Q738" s="41"/>
      <c r="R738" s="41"/>
    </row>
    <row r="739">
      <c r="C739" s="35"/>
      <c r="E739" s="35"/>
      <c r="G739" s="35"/>
      <c r="I739" s="35"/>
      <c r="K739" s="35"/>
      <c r="L739" s="35"/>
      <c r="N739" s="41"/>
      <c r="O739" s="41"/>
      <c r="P739" s="41"/>
      <c r="Q739" s="41"/>
      <c r="R739" s="41"/>
    </row>
    <row r="740">
      <c r="C740" s="35"/>
      <c r="E740" s="35"/>
      <c r="G740" s="35"/>
      <c r="I740" s="35"/>
      <c r="K740" s="35"/>
      <c r="L740" s="35"/>
      <c r="N740" s="41"/>
      <c r="O740" s="41"/>
      <c r="P740" s="41"/>
      <c r="Q740" s="41"/>
      <c r="R740" s="41"/>
    </row>
    <row r="741">
      <c r="C741" s="35"/>
      <c r="E741" s="35"/>
      <c r="G741" s="35"/>
      <c r="I741" s="35"/>
      <c r="K741" s="35"/>
      <c r="L741" s="35"/>
      <c r="N741" s="41"/>
      <c r="O741" s="41"/>
      <c r="P741" s="41"/>
      <c r="Q741" s="41"/>
      <c r="R741" s="41"/>
    </row>
    <row r="742">
      <c r="C742" s="35"/>
      <c r="E742" s="35"/>
      <c r="G742" s="35"/>
      <c r="I742" s="35"/>
      <c r="K742" s="35"/>
      <c r="L742" s="35"/>
      <c r="N742" s="41"/>
      <c r="O742" s="41"/>
      <c r="P742" s="41"/>
      <c r="Q742" s="41"/>
      <c r="R742" s="41"/>
    </row>
    <row r="743">
      <c r="C743" s="35"/>
      <c r="E743" s="35"/>
      <c r="G743" s="35"/>
      <c r="I743" s="35"/>
      <c r="K743" s="35"/>
      <c r="L743" s="35"/>
      <c r="N743" s="41"/>
      <c r="O743" s="41"/>
      <c r="P743" s="41"/>
      <c r="Q743" s="41"/>
      <c r="R743" s="41"/>
    </row>
    <row r="744">
      <c r="C744" s="35"/>
      <c r="E744" s="35"/>
      <c r="G744" s="35"/>
      <c r="I744" s="35"/>
      <c r="K744" s="35"/>
      <c r="L744" s="35"/>
      <c r="N744" s="41"/>
      <c r="O744" s="41"/>
      <c r="P744" s="41"/>
      <c r="Q744" s="41"/>
      <c r="R744" s="41"/>
    </row>
    <row r="745">
      <c r="C745" s="35"/>
      <c r="E745" s="35"/>
      <c r="G745" s="35"/>
      <c r="I745" s="35"/>
      <c r="K745" s="35"/>
      <c r="L745" s="35"/>
      <c r="N745" s="41"/>
      <c r="O745" s="41"/>
      <c r="P745" s="41"/>
      <c r="Q745" s="41"/>
      <c r="R745" s="41"/>
    </row>
    <row r="746">
      <c r="C746" s="35"/>
      <c r="E746" s="35"/>
      <c r="G746" s="35"/>
      <c r="I746" s="35"/>
      <c r="K746" s="35"/>
      <c r="L746" s="35"/>
      <c r="N746" s="41"/>
      <c r="O746" s="41"/>
      <c r="P746" s="41"/>
      <c r="Q746" s="41"/>
      <c r="R746" s="41"/>
    </row>
    <row r="747">
      <c r="C747" s="35"/>
      <c r="E747" s="35"/>
      <c r="G747" s="35"/>
      <c r="I747" s="35"/>
      <c r="K747" s="35"/>
      <c r="L747" s="35"/>
      <c r="N747" s="41"/>
      <c r="O747" s="41"/>
      <c r="P747" s="41"/>
      <c r="Q747" s="41"/>
      <c r="R747" s="41"/>
    </row>
    <row r="748">
      <c r="C748" s="35"/>
      <c r="E748" s="35"/>
      <c r="G748" s="35"/>
      <c r="I748" s="35"/>
      <c r="K748" s="35"/>
      <c r="L748" s="35"/>
      <c r="N748" s="41"/>
      <c r="O748" s="41"/>
      <c r="P748" s="41"/>
      <c r="Q748" s="41"/>
      <c r="R748" s="41"/>
    </row>
    <row r="749">
      <c r="C749" s="35"/>
      <c r="E749" s="35"/>
      <c r="G749" s="35"/>
      <c r="I749" s="35"/>
      <c r="K749" s="35"/>
      <c r="L749" s="35"/>
      <c r="N749" s="41"/>
      <c r="O749" s="41"/>
      <c r="P749" s="41"/>
      <c r="Q749" s="41"/>
      <c r="R749" s="41"/>
    </row>
    <row r="750">
      <c r="C750" s="35"/>
      <c r="E750" s="35"/>
      <c r="G750" s="35"/>
      <c r="I750" s="35"/>
      <c r="K750" s="35"/>
      <c r="L750" s="35"/>
      <c r="N750" s="41"/>
      <c r="O750" s="41"/>
      <c r="P750" s="41"/>
      <c r="Q750" s="41"/>
      <c r="R750" s="41"/>
    </row>
    <row r="751">
      <c r="C751" s="35"/>
      <c r="E751" s="35"/>
      <c r="G751" s="35"/>
      <c r="I751" s="35"/>
      <c r="K751" s="35"/>
      <c r="L751" s="35"/>
      <c r="N751" s="41"/>
      <c r="O751" s="41"/>
      <c r="P751" s="41"/>
      <c r="Q751" s="41"/>
      <c r="R751" s="41"/>
    </row>
    <row r="752">
      <c r="C752" s="35"/>
      <c r="E752" s="35"/>
      <c r="G752" s="35"/>
      <c r="I752" s="35"/>
      <c r="K752" s="35"/>
      <c r="L752" s="35"/>
      <c r="N752" s="41"/>
      <c r="O752" s="41"/>
      <c r="P752" s="41"/>
      <c r="Q752" s="41"/>
      <c r="R752" s="41"/>
    </row>
    <row r="753">
      <c r="C753" s="35"/>
      <c r="E753" s="35"/>
      <c r="G753" s="35"/>
      <c r="I753" s="35"/>
      <c r="K753" s="35"/>
      <c r="L753" s="35"/>
      <c r="N753" s="41"/>
      <c r="O753" s="41"/>
      <c r="P753" s="41"/>
      <c r="Q753" s="41"/>
      <c r="R753" s="41"/>
    </row>
    <row r="754">
      <c r="C754" s="35"/>
      <c r="E754" s="35"/>
      <c r="G754" s="35"/>
      <c r="I754" s="35"/>
      <c r="K754" s="35"/>
      <c r="L754" s="35"/>
      <c r="N754" s="41"/>
      <c r="O754" s="41"/>
      <c r="P754" s="41"/>
      <c r="Q754" s="41"/>
      <c r="R754" s="41"/>
    </row>
    <row r="755">
      <c r="C755" s="35"/>
      <c r="E755" s="35"/>
      <c r="G755" s="35"/>
      <c r="I755" s="35"/>
      <c r="K755" s="35"/>
      <c r="L755" s="35"/>
      <c r="N755" s="41"/>
      <c r="O755" s="41"/>
      <c r="P755" s="41"/>
      <c r="Q755" s="41"/>
      <c r="R755" s="41"/>
    </row>
    <row r="756">
      <c r="C756" s="35"/>
      <c r="E756" s="35"/>
      <c r="G756" s="35"/>
      <c r="I756" s="35"/>
      <c r="K756" s="35"/>
      <c r="L756" s="35"/>
      <c r="N756" s="41"/>
      <c r="O756" s="41"/>
      <c r="P756" s="41"/>
      <c r="Q756" s="41"/>
      <c r="R756" s="41"/>
    </row>
    <row r="757">
      <c r="C757" s="35"/>
      <c r="E757" s="35"/>
      <c r="G757" s="35"/>
      <c r="I757" s="35"/>
      <c r="K757" s="35"/>
      <c r="L757" s="35"/>
      <c r="N757" s="41"/>
      <c r="O757" s="41"/>
      <c r="P757" s="41"/>
      <c r="Q757" s="41"/>
      <c r="R757" s="41"/>
    </row>
    <row r="758">
      <c r="C758" s="35"/>
      <c r="E758" s="35"/>
      <c r="G758" s="35"/>
      <c r="I758" s="35"/>
      <c r="K758" s="35"/>
      <c r="L758" s="35"/>
      <c r="N758" s="41"/>
      <c r="O758" s="41"/>
      <c r="P758" s="41"/>
      <c r="Q758" s="41"/>
      <c r="R758" s="41"/>
    </row>
    <row r="759">
      <c r="C759" s="35"/>
      <c r="E759" s="35"/>
      <c r="G759" s="35"/>
      <c r="I759" s="35"/>
      <c r="K759" s="35"/>
      <c r="L759" s="35"/>
      <c r="N759" s="41"/>
      <c r="O759" s="41"/>
      <c r="P759" s="41"/>
      <c r="Q759" s="41"/>
      <c r="R759" s="41"/>
    </row>
    <row r="760">
      <c r="C760" s="35"/>
      <c r="E760" s="35"/>
      <c r="G760" s="35"/>
      <c r="I760" s="35"/>
      <c r="K760" s="35"/>
      <c r="L760" s="35"/>
      <c r="N760" s="41"/>
      <c r="O760" s="41"/>
      <c r="P760" s="41"/>
      <c r="Q760" s="41"/>
      <c r="R760" s="41"/>
    </row>
    <row r="761">
      <c r="C761" s="35"/>
      <c r="E761" s="35"/>
      <c r="G761" s="35"/>
      <c r="I761" s="35"/>
      <c r="K761" s="35"/>
      <c r="L761" s="35"/>
      <c r="N761" s="41"/>
      <c r="O761" s="41"/>
      <c r="P761" s="41"/>
      <c r="Q761" s="41"/>
      <c r="R761" s="41"/>
    </row>
    <row r="762">
      <c r="C762" s="35"/>
      <c r="E762" s="35"/>
      <c r="G762" s="35"/>
      <c r="I762" s="35"/>
      <c r="K762" s="35"/>
      <c r="L762" s="35"/>
      <c r="N762" s="41"/>
      <c r="O762" s="41"/>
      <c r="P762" s="41"/>
      <c r="Q762" s="41"/>
      <c r="R762" s="41"/>
    </row>
    <row r="763">
      <c r="C763" s="35"/>
      <c r="E763" s="35"/>
      <c r="G763" s="35"/>
      <c r="I763" s="35"/>
      <c r="K763" s="35"/>
      <c r="L763" s="35"/>
      <c r="N763" s="41"/>
      <c r="O763" s="41"/>
      <c r="P763" s="41"/>
      <c r="Q763" s="41"/>
      <c r="R763" s="41"/>
    </row>
    <row r="764">
      <c r="C764" s="35"/>
      <c r="E764" s="35"/>
      <c r="G764" s="35"/>
      <c r="I764" s="35"/>
      <c r="K764" s="35"/>
      <c r="L764" s="35"/>
      <c r="N764" s="41"/>
      <c r="O764" s="41"/>
      <c r="P764" s="41"/>
      <c r="Q764" s="41"/>
      <c r="R764" s="41"/>
    </row>
    <row r="765">
      <c r="C765" s="35"/>
      <c r="E765" s="35"/>
      <c r="G765" s="35"/>
      <c r="I765" s="35"/>
      <c r="K765" s="35"/>
      <c r="L765" s="35"/>
      <c r="N765" s="41"/>
      <c r="O765" s="41"/>
      <c r="P765" s="41"/>
      <c r="Q765" s="41"/>
      <c r="R765" s="41"/>
    </row>
    <row r="766">
      <c r="C766" s="35"/>
      <c r="E766" s="35"/>
      <c r="G766" s="35"/>
      <c r="I766" s="35"/>
      <c r="K766" s="35"/>
      <c r="L766" s="35"/>
      <c r="N766" s="41"/>
      <c r="O766" s="41"/>
      <c r="P766" s="41"/>
      <c r="Q766" s="41"/>
      <c r="R766" s="41"/>
    </row>
    <row r="767">
      <c r="C767" s="35"/>
      <c r="E767" s="35"/>
      <c r="G767" s="35"/>
      <c r="I767" s="35"/>
      <c r="K767" s="35"/>
      <c r="L767" s="35"/>
      <c r="N767" s="41"/>
      <c r="O767" s="41"/>
      <c r="P767" s="41"/>
      <c r="Q767" s="41"/>
      <c r="R767" s="41"/>
    </row>
    <row r="768">
      <c r="C768" s="35"/>
      <c r="E768" s="35"/>
      <c r="G768" s="35"/>
      <c r="I768" s="35"/>
      <c r="K768" s="35"/>
      <c r="L768" s="35"/>
      <c r="N768" s="41"/>
      <c r="O768" s="41"/>
      <c r="P768" s="41"/>
      <c r="Q768" s="41"/>
      <c r="R768" s="41"/>
    </row>
    <row r="769">
      <c r="C769" s="35"/>
      <c r="E769" s="35"/>
      <c r="G769" s="35"/>
      <c r="I769" s="35"/>
      <c r="K769" s="35"/>
      <c r="L769" s="35"/>
      <c r="N769" s="41"/>
      <c r="O769" s="41"/>
      <c r="P769" s="41"/>
      <c r="Q769" s="41"/>
      <c r="R769" s="41"/>
    </row>
    <row r="770">
      <c r="C770" s="35"/>
      <c r="E770" s="35"/>
      <c r="G770" s="35"/>
      <c r="I770" s="35"/>
      <c r="K770" s="35"/>
      <c r="L770" s="35"/>
      <c r="N770" s="41"/>
      <c r="O770" s="41"/>
      <c r="P770" s="41"/>
      <c r="Q770" s="41"/>
      <c r="R770" s="41"/>
    </row>
    <row r="771">
      <c r="C771" s="35"/>
      <c r="E771" s="35"/>
      <c r="G771" s="35"/>
      <c r="I771" s="35"/>
      <c r="K771" s="35"/>
      <c r="L771" s="35"/>
      <c r="N771" s="41"/>
      <c r="O771" s="41"/>
      <c r="P771" s="41"/>
      <c r="Q771" s="41"/>
      <c r="R771" s="41"/>
    </row>
    <row r="772">
      <c r="C772" s="35"/>
      <c r="E772" s="35"/>
      <c r="G772" s="35"/>
      <c r="I772" s="35"/>
      <c r="K772" s="35"/>
      <c r="L772" s="35"/>
      <c r="N772" s="41"/>
      <c r="O772" s="41"/>
      <c r="P772" s="41"/>
      <c r="Q772" s="41"/>
      <c r="R772" s="41"/>
    </row>
    <row r="773">
      <c r="C773" s="35"/>
      <c r="E773" s="35"/>
      <c r="G773" s="35"/>
      <c r="I773" s="35"/>
      <c r="K773" s="35"/>
      <c r="L773" s="35"/>
      <c r="N773" s="41"/>
      <c r="O773" s="41"/>
      <c r="P773" s="41"/>
      <c r="Q773" s="41"/>
      <c r="R773" s="41"/>
    </row>
    <row r="774">
      <c r="C774" s="35"/>
      <c r="E774" s="35"/>
      <c r="G774" s="35"/>
      <c r="I774" s="35"/>
      <c r="K774" s="35"/>
      <c r="L774" s="35"/>
      <c r="N774" s="41"/>
      <c r="O774" s="41"/>
      <c r="P774" s="41"/>
      <c r="Q774" s="41"/>
      <c r="R774" s="41"/>
    </row>
    <row r="775">
      <c r="C775" s="35"/>
      <c r="E775" s="35"/>
      <c r="G775" s="35"/>
      <c r="I775" s="35"/>
      <c r="K775" s="35"/>
      <c r="L775" s="35"/>
      <c r="N775" s="41"/>
      <c r="O775" s="41"/>
      <c r="P775" s="41"/>
      <c r="Q775" s="41"/>
      <c r="R775" s="41"/>
    </row>
    <row r="776">
      <c r="C776" s="35"/>
      <c r="E776" s="35"/>
      <c r="G776" s="35"/>
      <c r="I776" s="35"/>
      <c r="K776" s="35"/>
      <c r="L776" s="35"/>
      <c r="N776" s="41"/>
      <c r="O776" s="41"/>
      <c r="P776" s="41"/>
      <c r="Q776" s="41"/>
      <c r="R776" s="41"/>
    </row>
    <row r="777">
      <c r="C777" s="35"/>
      <c r="E777" s="35"/>
      <c r="G777" s="35"/>
      <c r="I777" s="35"/>
      <c r="K777" s="35"/>
      <c r="L777" s="35"/>
      <c r="N777" s="41"/>
      <c r="O777" s="41"/>
      <c r="P777" s="41"/>
      <c r="Q777" s="41"/>
      <c r="R777" s="41"/>
    </row>
    <row r="778">
      <c r="C778" s="35"/>
      <c r="E778" s="35"/>
      <c r="G778" s="35"/>
      <c r="I778" s="35"/>
      <c r="K778" s="35"/>
      <c r="L778" s="35"/>
      <c r="N778" s="41"/>
      <c r="O778" s="41"/>
      <c r="P778" s="41"/>
      <c r="Q778" s="41"/>
      <c r="R778" s="41"/>
    </row>
    <row r="779">
      <c r="C779" s="35"/>
      <c r="E779" s="35"/>
      <c r="G779" s="35"/>
      <c r="I779" s="35"/>
      <c r="K779" s="35"/>
      <c r="L779" s="35"/>
      <c r="N779" s="41"/>
      <c r="O779" s="41"/>
      <c r="P779" s="41"/>
      <c r="Q779" s="41"/>
      <c r="R779" s="41"/>
    </row>
    <row r="780">
      <c r="C780" s="35"/>
      <c r="E780" s="35"/>
      <c r="G780" s="35"/>
      <c r="I780" s="35"/>
      <c r="K780" s="35"/>
      <c r="L780" s="35"/>
      <c r="N780" s="41"/>
      <c r="O780" s="41"/>
      <c r="P780" s="41"/>
      <c r="Q780" s="41"/>
      <c r="R780" s="41"/>
    </row>
    <row r="781">
      <c r="C781" s="35"/>
      <c r="E781" s="35"/>
      <c r="G781" s="35"/>
      <c r="I781" s="35"/>
      <c r="K781" s="35"/>
      <c r="L781" s="35"/>
      <c r="N781" s="41"/>
      <c r="O781" s="41"/>
      <c r="P781" s="41"/>
      <c r="Q781" s="41"/>
      <c r="R781" s="41"/>
    </row>
    <row r="782">
      <c r="C782" s="35"/>
      <c r="E782" s="35"/>
      <c r="G782" s="35"/>
      <c r="I782" s="35"/>
      <c r="K782" s="35"/>
      <c r="L782" s="35"/>
      <c r="N782" s="41"/>
      <c r="O782" s="41"/>
      <c r="P782" s="41"/>
      <c r="Q782" s="41"/>
      <c r="R782" s="41"/>
    </row>
    <row r="783">
      <c r="C783" s="35"/>
      <c r="E783" s="35"/>
      <c r="G783" s="35"/>
      <c r="I783" s="35"/>
      <c r="K783" s="35"/>
      <c r="L783" s="35"/>
      <c r="N783" s="41"/>
      <c r="O783" s="41"/>
      <c r="P783" s="41"/>
      <c r="Q783" s="41"/>
      <c r="R783" s="41"/>
    </row>
    <row r="784">
      <c r="C784" s="35"/>
      <c r="E784" s="35"/>
      <c r="G784" s="35"/>
      <c r="I784" s="35"/>
      <c r="K784" s="35"/>
      <c r="L784" s="35"/>
      <c r="N784" s="41"/>
      <c r="O784" s="41"/>
      <c r="P784" s="41"/>
      <c r="Q784" s="41"/>
      <c r="R784" s="41"/>
    </row>
    <row r="785">
      <c r="C785" s="35"/>
      <c r="E785" s="35"/>
      <c r="G785" s="35"/>
      <c r="I785" s="35"/>
      <c r="K785" s="35"/>
      <c r="L785" s="35"/>
      <c r="N785" s="41"/>
      <c r="O785" s="41"/>
      <c r="P785" s="41"/>
      <c r="Q785" s="41"/>
      <c r="R785" s="41"/>
    </row>
    <row r="786">
      <c r="C786" s="35"/>
      <c r="E786" s="35"/>
      <c r="G786" s="35"/>
      <c r="I786" s="35"/>
      <c r="K786" s="35"/>
      <c r="L786" s="35"/>
      <c r="N786" s="41"/>
      <c r="O786" s="41"/>
      <c r="P786" s="41"/>
      <c r="Q786" s="41"/>
      <c r="R786" s="41"/>
    </row>
    <row r="787">
      <c r="C787" s="35"/>
      <c r="E787" s="35"/>
      <c r="G787" s="35"/>
      <c r="I787" s="35"/>
      <c r="K787" s="35"/>
      <c r="L787" s="35"/>
      <c r="N787" s="41"/>
      <c r="O787" s="41"/>
      <c r="P787" s="41"/>
      <c r="Q787" s="41"/>
      <c r="R787" s="41"/>
    </row>
    <row r="788">
      <c r="C788" s="35"/>
      <c r="E788" s="35"/>
      <c r="G788" s="35"/>
      <c r="I788" s="35"/>
      <c r="K788" s="35"/>
      <c r="L788" s="35"/>
      <c r="N788" s="41"/>
      <c r="O788" s="41"/>
      <c r="P788" s="41"/>
      <c r="Q788" s="41"/>
      <c r="R788" s="41"/>
    </row>
    <row r="789">
      <c r="C789" s="35"/>
      <c r="E789" s="35"/>
      <c r="G789" s="35"/>
      <c r="I789" s="35"/>
      <c r="K789" s="35"/>
      <c r="L789" s="35"/>
      <c r="N789" s="41"/>
      <c r="O789" s="41"/>
      <c r="P789" s="41"/>
      <c r="Q789" s="41"/>
      <c r="R789" s="41"/>
    </row>
    <row r="790">
      <c r="C790" s="35"/>
      <c r="E790" s="35"/>
      <c r="G790" s="35"/>
      <c r="I790" s="35"/>
      <c r="K790" s="35"/>
      <c r="L790" s="35"/>
      <c r="N790" s="41"/>
      <c r="O790" s="41"/>
      <c r="P790" s="41"/>
      <c r="Q790" s="41"/>
      <c r="R790" s="41"/>
    </row>
    <row r="791">
      <c r="C791" s="35"/>
      <c r="E791" s="35"/>
      <c r="G791" s="35"/>
      <c r="I791" s="35"/>
      <c r="K791" s="35"/>
      <c r="L791" s="35"/>
      <c r="N791" s="41"/>
      <c r="O791" s="41"/>
      <c r="P791" s="41"/>
      <c r="Q791" s="41"/>
      <c r="R791" s="41"/>
    </row>
    <row r="792">
      <c r="C792" s="35"/>
      <c r="E792" s="35"/>
      <c r="G792" s="35"/>
      <c r="I792" s="35"/>
      <c r="K792" s="35"/>
      <c r="L792" s="35"/>
      <c r="N792" s="41"/>
      <c r="O792" s="41"/>
      <c r="P792" s="41"/>
      <c r="Q792" s="41"/>
      <c r="R792" s="41"/>
    </row>
    <row r="793">
      <c r="C793" s="35"/>
      <c r="E793" s="35"/>
      <c r="G793" s="35"/>
      <c r="I793" s="35"/>
      <c r="K793" s="35"/>
      <c r="L793" s="35"/>
      <c r="N793" s="41"/>
      <c r="O793" s="41"/>
      <c r="P793" s="41"/>
      <c r="Q793" s="41"/>
      <c r="R793" s="41"/>
    </row>
    <row r="794">
      <c r="C794" s="35"/>
      <c r="E794" s="35"/>
      <c r="G794" s="35"/>
      <c r="I794" s="35"/>
      <c r="K794" s="35"/>
      <c r="L794" s="35"/>
      <c r="N794" s="41"/>
      <c r="O794" s="41"/>
      <c r="P794" s="41"/>
      <c r="Q794" s="41"/>
      <c r="R794" s="41"/>
    </row>
    <row r="795">
      <c r="C795" s="35"/>
      <c r="E795" s="35"/>
      <c r="G795" s="35"/>
      <c r="I795" s="35"/>
      <c r="K795" s="35"/>
      <c r="L795" s="35"/>
      <c r="N795" s="41"/>
      <c r="O795" s="41"/>
      <c r="P795" s="41"/>
      <c r="Q795" s="41"/>
      <c r="R795" s="41"/>
    </row>
    <row r="796">
      <c r="C796" s="35"/>
      <c r="E796" s="35"/>
      <c r="G796" s="35"/>
      <c r="I796" s="35"/>
      <c r="K796" s="35"/>
      <c r="L796" s="35"/>
      <c r="N796" s="41"/>
      <c r="O796" s="41"/>
      <c r="P796" s="41"/>
      <c r="Q796" s="41"/>
      <c r="R796" s="41"/>
    </row>
    <row r="797">
      <c r="C797" s="35"/>
      <c r="E797" s="35"/>
      <c r="G797" s="35"/>
      <c r="I797" s="35"/>
      <c r="K797" s="35"/>
      <c r="L797" s="35"/>
      <c r="N797" s="41"/>
      <c r="O797" s="41"/>
      <c r="P797" s="41"/>
      <c r="Q797" s="41"/>
      <c r="R797" s="41"/>
    </row>
    <row r="798">
      <c r="C798" s="35"/>
      <c r="E798" s="35"/>
      <c r="G798" s="35"/>
      <c r="I798" s="35"/>
      <c r="K798" s="35"/>
      <c r="L798" s="35"/>
      <c r="N798" s="41"/>
      <c r="O798" s="41"/>
      <c r="P798" s="41"/>
      <c r="Q798" s="41"/>
      <c r="R798" s="41"/>
    </row>
    <row r="799">
      <c r="C799" s="35"/>
      <c r="E799" s="35"/>
      <c r="G799" s="35"/>
      <c r="I799" s="35"/>
      <c r="K799" s="35"/>
      <c r="L799" s="35"/>
      <c r="N799" s="41"/>
      <c r="O799" s="41"/>
      <c r="P799" s="41"/>
      <c r="Q799" s="41"/>
      <c r="R799" s="41"/>
    </row>
    <row r="800">
      <c r="C800" s="35"/>
      <c r="E800" s="35"/>
      <c r="G800" s="35"/>
      <c r="I800" s="35"/>
      <c r="K800" s="35"/>
      <c r="L800" s="35"/>
      <c r="N800" s="41"/>
      <c r="O800" s="41"/>
      <c r="P800" s="41"/>
      <c r="Q800" s="41"/>
      <c r="R800" s="41"/>
    </row>
    <row r="801">
      <c r="C801" s="35"/>
      <c r="E801" s="35"/>
      <c r="G801" s="35"/>
      <c r="I801" s="35"/>
      <c r="K801" s="35"/>
      <c r="L801" s="35"/>
      <c r="N801" s="41"/>
      <c r="O801" s="41"/>
      <c r="P801" s="41"/>
      <c r="Q801" s="41"/>
      <c r="R801" s="41"/>
    </row>
    <row r="802">
      <c r="C802" s="35"/>
      <c r="E802" s="35"/>
      <c r="G802" s="35"/>
      <c r="I802" s="35"/>
      <c r="K802" s="35"/>
      <c r="L802" s="35"/>
      <c r="N802" s="41"/>
      <c r="O802" s="41"/>
      <c r="P802" s="41"/>
      <c r="Q802" s="41"/>
      <c r="R802" s="41"/>
    </row>
    <row r="803">
      <c r="C803" s="35"/>
      <c r="E803" s="35"/>
      <c r="G803" s="35"/>
      <c r="I803" s="35"/>
      <c r="K803" s="35"/>
      <c r="L803" s="35"/>
      <c r="N803" s="41"/>
      <c r="O803" s="41"/>
      <c r="P803" s="41"/>
      <c r="Q803" s="41"/>
      <c r="R803" s="41"/>
    </row>
    <row r="804">
      <c r="C804" s="35"/>
      <c r="E804" s="35"/>
      <c r="G804" s="35"/>
      <c r="I804" s="35"/>
      <c r="K804" s="35"/>
      <c r="L804" s="35"/>
      <c r="N804" s="41"/>
      <c r="O804" s="41"/>
      <c r="P804" s="41"/>
      <c r="Q804" s="41"/>
      <c r="R804" s="41"/>
    </row>
    <row r="805">
      <c r="C805" s="35"/>
      <c r="E805" s="35"/>
      <c r="G805" s="35"/>
      <c r="I805" s="35"/>
      <c r="K805" s="35"/>
      <c r="L805" s="35"/>
      <c r="N805" s="41"/>
      <c r="O805" s="41"/>
      <c r="P805" s="41"/>
      <c r="Q805" s="41"/>
      <c r="R805" s="41"/>
    </row>
    <row r="806">
      <c r="C806" s="35"/>
      <c r="E806" s="35"/>
      <c r="G806" s="35"/>
      <c r="I806" s="35"/>
      <c r="K806" s="35"/>
      <c r="L806" s="35"/>
      <c r="N806" s="41"/>
      <c r="O806" s="41"/>
      <c r="P806" s="41"/>
      <c r="Q806" s="41"/>
      <c r="R806" s="41"/>
    </row>
    <row r="807">
      <c r="C807" s="35"/>
      <c r="E807" s="35"/>
      <c r="G807" s="35"/>
      <c r="I807" s="35"/>
      <c r="K807" s="35"/>
      <c r="L807" s="35"/>
      <c r="N807" s="41"/>
      <c r="O807" s="41"/>
      <c r="P807" s="41"/>
      <c r="Q807" s="41"/>
      <c r="R807" s="41"/>
    </row>
    <row r="808">
      <c r="C808" s="35"/>
      <c r="E808" s="35"/>
      <c r="G808" s="35"/>
      <c r="I808" s="35"/>
      <c r="K808" s="35"/>
      <c r="L808" s="35"/>
      <c r="N808" s="41"/>
      <c r="O808" s="41"/>
      <c r="P808" s="41"/>
      <c r="Q808" s="41"/>
      <c r="R808" s="41"/>
    </row>
    <row r="809">
      <c r="C809" s="35"/>
      <c r="E809" s="35"/>
      <c r="G809" s="35"/>
      <c r="I809" s="35"/>
      <c r="K809" s="35"/>
      <c r="L809" s="35"/>
      <c r="N809" s="41"/>
      <c r="O809" s="41"/>
      <c r="P809" s="41"/>
      <c r="Q809" s="41"/>
      <c r="R809" s="41"/>
    </row>
    <row r="810">
      <c r="C810" s="35"/>
      <c r="E810" s="35"/>
      <c r="G810" s="35"/>
      <c r="I810" s="35"/>
      <c r="K810" s="35"/>
      <c r="L810" s="35"/>
      <c r="N810" s="41"/>
      <c r="O810" s="41"/>
      <c r="P810" s="41"/>
      <c r="Q810" s="41"/>
      <c r="R810" s="41"/>
    </row>
    <row r="811">
      <c r="C811" s="35"/>
      <c r="E811" s="35"/>
      <c r="G811" s="35"/>
      <c r="I811" s="35"/>
      <c r="K811" s="35"/>
      <c r="L811" s="35"/>
      <c r="N811" s="41"/>
      <c r="O811" s="41"/>
      <c r="P811" s="41"/>
      <c r="Q811" s="41"/>
      <c r="R811" s="41"/>
    </row>
    <row r="812">
      <c r="C812" s="35"/>
      <c r="E812" s="35"/>
      <c r="G812" s="35"/>
      <c r="I812" s="35"/>
      <c r="K812" s="35"/>
      <c r="L812" s="35"/>
      <c r="N812" s="41"/>
      <c r="O812" s="41"/>
      <c r="P812" s="41"/>
      <c r="Q812" s="41"/>
      <c r="R812" s="41"/>
    </row>
    <row r="813">
      <c r="C813" s="35"/>
      <c r="E813" s="35"/>
      <c r="G813" s="35"/>
      <c r="I813" s="35"/>
      <c r="K813" s="35"/>
      <c r="L813" s="35"/>
      <c r="N813" s="41"/>
      <c r="O813" s="41"/>
      <c r="P813" s="41"/>
      <c r="Q813" s="41"/>
      <c r="R813" s="41"/>
    </row>
    <row r="814">
      <c r="C814" s="35"/>
      <c r="E814" s="35"/>
      <c r="G814" s="35"/>
      <c r="I814" s="35"/>
      <c r="K814" s="35"/>
      <c r="L814" s="35"/>
      <c r="N814" s="41"/>
      <c r="O814" s="41"/>
      <c r="P814" s="41"/>
      <c r="Q814" s="41"/>
      <c r="R814" s="41"/>
    </row>
    <row r="815">
      <c r="C815" s="35"/>
      <c r="E815" s="35"/>
      <c r="G815" s="35"/>
      <c r="I815" s="35"/>
      <c r="K815" s="35"/>
      <c r="L815" s="35"/>
      <c r="N815" s="41"/>
      <c r="O815" s="41"/>
      <c r="P815" s="41"/>
      <c r="Q815" s="41"/>
      <c r="R815" s="41"/>
    </row>
    <row r="816">
      <c r="C816" s="35"/>
      <c r="E816" s="35"/>
      <c r="G816" s="35"/>
      <c r="I816" s="35"/>
      <c r="K816" s="35"/>
      <c r="L816" s="35"/>
      <c r="N816" s="41"/>
      <c r="O816" s="41"/>
      <c r="P816" s="41"/>
      <c r="Q816" s="41"/>
      <c r="R816" s="41"/>
    </row>
    <row r="817">
      <c r="C817" s="35"/>
      <c r="E817" s="35"/>
      <c r="G817" s="35"/>
      <c r="I817" s="35"/>
      <c r="K817" s="35"/>
      <c r="L817" s="35"/>
      <c r="N817" s="41"/>
      <c r="O817" s="41"/>
      <c r="P817" s="41"/>
      <c r="Q817" s="41"/>
      <c r="R817" s="41"/>
    </row>
    <row r="818">
      <c r="C818" s="35"/>
      <c r="E818" s="35"/>
      <c r="G818" s="35"/>
      <c r="I818" s="35"/>
      <c r="K818" s="35"/>
      <c r="L818" s="35"/>
      <c r="N818" s="41"/>
      <c r="O818" s="41"/>
      <c r="P818" s="41"/>
      <c r="Q818" s="41"/>
      <c r="R818" s="41"/>
    </row>
    <row r="819">
      <c r="C819" s="35"/>
      <c r="E819" s="35"/>
      <c r="G819" s="35"/>
      <c r="I819" s="35"/>
      <c r="K819" s="35"/>
      <c r="L819" s="35"/>
      <c r="N819" s="41"/>
      <c r="O819" s="41"/>
      <c r="P819" s="41"/>
      <c r="Q819" s="41"/>
      <c r="R819" s="41"/>
    </row>
    <row r="820">
      <c r="C820" s="35"/>
      <c r="E820" s="35"/>
      <c r="G820" s="35"/>
      <c r="I820" s="35"/>
      <c r="K820" s="35"/>
      <c r="L820" s="35"/>
      <c r="N820" s="41"/>
      <c r="O820" s="41"/>
      <c r="P820" s="41"/>
      <c r="Q820" s="41"/>
      <c r="R820" s="41"/>
    </row>
    <row r="821">
      <c r="C821" s="35"/>
      <c r="E821" s="35"/>
      <c r="G821" s="35"/>
      <c r="I821" s="35"/>
      <c r="K821" s="35"/>
      <c r="L821" s="35"/>
      <c r="N821" s="41"/>
      <c r="O821" s="41"/>
      <c r="P821" s="41"/>
      <c r="Q821" s="41"/>
      <c r="R821" s="41"/>
    </row>
    <row r="822">
      <c r="C822" s="35"/>
      <c r="E822" s="35"/>
      <c r="G822" s="35"/>
      <c r="I822" s="35"/>
      <c r="K822" s="35"/>
      <c r="L822" s="35"/>
      <c r="N822" s="41"/>
      <c r="O822" s="41"/>
      <c r="P822" s="41"/>
      <c r="Q822" s="41"/>
      <c r="R822" s="41"/>
    </row>
    <row r="823">
      <c r="C823" s="35"/>
      <c r="E823" s="35"/>
      <c r="G823" s="35"/>
      <c r="I823" s="35"/>
      <c r="K823" s="35"/>
      <c r="L823" s="35"/>
      <c r="N823" s="41"/>
      <c r="O823" s="41"/>
      <c r="P823" s="41"/>
      <c r="Q823" s="41"/>
      <c r="R823" s="41"/>
    </row>
    <row r="824">
      <c r="C824" s="35"/>
      <c r="E824" s="35"/>
      <c r="G824" s="35"/>
      <c r="I824" s="35"/>
      <c r="K824" s="35"/>
      <c r="L824" s="35"/>
      <c r="N824" s="41"/>
      <c r="O824" s="41"/>
      <c r="P824" s="41"/>
      <c r="Q824" s="41"/>
      <c r="R824" s="41"/>
    </row>
    <row r="825">
      <c r="C825" s="35"/>
      <c r="E825" s="35"/>
      <c r="G825" s="35"/>
      <c r="I825" s="35"/>
      <c r="K825" s="35"/>
      <c r="L825" s="35"/>
      <c r="N825" s="41"/>
      <c r="O825" s="41"/>
      <c r="P825" s="41"/>
      <c r="Q825" s="41"/>
      <c r="R825" s="41"/>
    </row>
    <row r="826">
      <c r="C826" s="35"/>
      <c r="E826" s="35"/>
      <c r="G826" s="35"/>
      <c r="I826" s="35"/>
      <c r="K826" s="35"/>
      <c r="L826" s="35"/>
      <c r="N826" s="41"/>
      <c r="O826" s="41"/>
      <c r="P826" s="41"/>
      <c r="Q826" s="41"/>
      <c r="R826" s="41"/>
    </row>
    <row r="827">
      <c r="C827" s="35"/>
      <c r="E827" s="35"/>
      <c r="G827" s="35"/>
      <c r="I827" s="35"/>
      <c r="K827" s="35"/>
      <c r="L827" s="35"/>
      <c r="N827" s="41"/>
      <c r="O827" s="41"/>
      <c r="P827" s="41"/>
      <c r="Q827" s="41"/>
      <c r="R827" s="41"/>
    </row>
    <row r="828">
      <c r="C828" s="35"/>
      <c r="E828" s="35"/>
      <c r="G828" s="35"/>
      <c r="I828" s="35"/>
      <c r="K828" s="35"/>
      <c r="L828" s="35"/>
      <c r="N828" s="41"/>
      <c r="O828" s="41"/>
      <c r="P828" s="41"/>
      <c r="Q828" s="41"/>
      <c r="R828" s="41"/>
    </row>
    <row r="829">
      <c r="C829" s="35"/>
      <c r="E829" s="35"/>
      <c r="G829" s="35"/>
      <c r="I829" s="35"/>
      <c r="K829" s="35"/>
      <c r="L829" s="35"/>
      <c r="N829" s="41"/>
      <c r="O829" s="41"/>
      <c r="P829" s="41"/>
      <c r="Q829" s="41"/>
      <c r="R829" s="41"/>
    </row>
    <row r="830">
      <c r="C830" s="35"/>
      <c r="E830" s="35"/>
      <c r="G830" s="35"/>
      <c r="I830" s="35"/>
      <c r="K830" s="35"/>
      <c r="L830" s="35"/>
      <c r="N830" s="41"/>
      <c r="O830" s="41"/>
      <c r="P830" s="41"/>
      <c r="Q830" s="41"/>
      <c r="R830" s="41"/>
    </row>
    <row r="831">
      <c r="C831" s="35"/>
      <c r="E831" s="35"/>
      <c r="G831" s="35"/>
      <c r="I831" s="35"/>
      <c r="K831" s="35"/>
      <c r="L831" s="35"/>
      <c r="N831" s="41"/>
      <c r="O831" s="41"/>
      <c r="P831" s="41"/>
      <c r="Q831" s="41"/>
      <c r="R831" s="41"/>
    </row>
    <row r="832">
      <c r="C832" s="35"/>
      <c r="E832" s="35"/>
      <c r="G832" s="35"/>
      <c r="I832" s="35"/>
      <c r="K832" s="35"/>
      <c r="L832" s="35"/>
      <c r="N832" s="41"/>
      <c r="O832" s="41"/>
      <c r="P832" s="41"/>
      <c r="Q832" s="41"/>
      <c r="R832" s="41"/>
    </row>
    <row r="833">
      <c r="C833" s="35"/>
      <c r="E833" s="35"/>
      <c r="G833" s="35"/>
      <c r="I833" s="35"/>
      <c r="K833" s="35"/>
      <c r="L833" s="35"/>
      <c r="N833" s="41"/>
      <c r="O833" s="41"/>
      <c r="P833" s="41"/>
      <c r="Q833" s="41"/>
      <c r="R833" s="41"/>
    </row>
    <row r="834">
      <c r="C834" s="35"/>
      <c r="E834" s="35"/>
      <c r="G834" s="35"/>
      <c r="I834" s="35"/>
      <c r="K834" s="35"/>
      <c r="L834" s="35"/>
      <c r="N834" s="41"/>
      <c r="O834" s="41"/>
      <c r="P834" s="41"/>
      <c r="Q834" s="41"/>
      <c r="R834" s="41"/>
    </row>
    <row r="835">
      <c r="C835" s="35"/>
      <c r="E835" s="35"/>
      <c r="G835" s="35"/>
      <c r="I835" s="35"/>
      <c r="K835" s="35"/>
      <c r="L835" s="35"/>
      <c r="N835" s="41"/>
      <c r="O835" s="41"/>
      <c r="P835" s="41"/>
      <c r="Q835" s="41"/>
      <c r="R835" s="41"/>
    </row>
    <row r="836">
      <c r="C836" s="35"/>
      <c r="E836" s="35"/>
      <c r="G836" s="35"/>
      <c r="I836" s="35"/>
      <c r="K836" s="35"/>
      <c r="L836" s="35"/>
      <c r="N836" s="41"/>
      <c r="O836" s="41"/>
      <c r="P836" s="41"/>
      <c r="Q836" s="41"/>
      <c r="R836" s="41"/>
    </row>
    <row r="837">
      <c r="C837" s="35"/>
      <c r="E837" s="35"/>
      <c r="G837" s="35"/>
      <c r="I837" s="35"/>
      <c r="K837" s="35"/>
      <c r="L837" s="35"/>
      <c r="N837" s="41"/>
      <c r="O837" s="41"/>
      <c r="P837" s="41"/>
      <c r="Q837" s="41"/>
      <c r="R837" s="41"/>
    </row>
    <row r="838">
      <c r="C838" s="35"/>
      <c r="E838" s="35"/>
      <c r="G838" s="35"/>
      <c r="I838" s="35"/>
      <c r="K838" s="35"/>
      <c r="L838" s="35"/>
      <c r="N838" s="41"/>
      <c r="O838" s="41"/>
      <c r="P838" s="41"/>
      <c r="Q838" s="41"/>
      <c r="R838" s="41"/>
    </row>
    <row r="839">
      <c r="C839" s="35"/>
      <c r="E839" s="35"/>
      <c r="G839" s="35"/>
      <c r="I839" s="35"/>
      <c r="K839" s="35"/>
      <c r="L839" s="35"/>
      <c r="N839" s="41"/>
      <c r="O839" s="41"/>
      <c r="P839" s="41"/>
      <c r="Q839" s="41"/>
      <c r="R839" s="41"/>
    </row>
    <row r="840">
      <c r="C840" s="35"/>
      <c r="E840" s="35"/>
      <c r="G840" s="35"/>
      <c r="I840" s="35"/>
      <c r="K840" s="35"/>
      <c r="L840" s="35"/>
      <c r="N840" s="41"/>
      <c r="O840" s="41"/>
      <c r="P840" s="41"/>
      <c r="Q840" s="41"/>
      <c r="R840" s="41"/>
    </row>
    <row r="841">
      <c r="C841" s="35"/>
      <c r="E841" s="35"/>
      <c r="G841" s="35"/>
      <c r="I841" s="35"/>
      <c r="K841" s="35"/>
      <c r="L841" s="35"/>
      <c r="N841" s="41"/>
      <c r="O841" s="41"/>
      <c r="P841" s="41"/>
      <c r="Q841" s="41"/>
      <c r="R841" s="41"/>
    </row>
    <row r="842">
      <c r="C842" s="35"/>
      <c r="E842" s="35"/>
      <c r="G842" s="35"/>
      <c r="I842" s="35"/>
      <c r="K842" s="35"/>
      <c r="L842" s="35"/>
      <c r="N842" s="41"/>
      <c r="O842" s="41"/>
      <c r="P842" s="41"/>
      <c r="Q842" s="41"/>
      <c r="R842" s="41"/>
    </row>
    <row r="843">
      <c r="C843" s="35"/>
      <c r="E843" s="35"/>
      <c r="G843" s="35"/>
      <c r="I843" s="35"/>
      <c r="K843" s="35"/>
      <c r="L843" s="35"/>
      <c r="N843" s="41"/>
      <c r="O843" s="41"/>
      <c r="P843" s="41"/>
      <c r="Q843" s="41"/>
      <c r="R843" s="41"/>
    </row>
    <row r="844">
      <c r="C844" s="35"/>
      <c r="E844" s="35"/>
      <c r="G844" s="35"/>
      <c r="I844" s="35"/>
      <c r="K844" s="35"/>
      <c r="L844" s="35"/>
      <c r="N844" s="41"/>
      <c r="O844" s="41"/>
      <c r="P844" s="41"/>
      <c r="Q844" s="41"/>
      <c r="R844" s="41"/>
    </row>
    <row r="845">
      <c r="C845" s="35"/>
      <c r="E845" s="35"/>
      <c r="G845" s="35"/>
      <c r="I845" s="35"/>
      <c r="K845" s="35"/>
      <c r="L845" s="35"/>
      <c r="N845" s="41"/>
      <c r="O845" s="41"/>
      <c r="P845" s="41"/>
      <c r="Q845" s="41"/>
      <c r="R845" s="41"/>
    </row>
    <row r="846">
      <c r="C846" s="35"/>
      <c r="E846" s="35"/>
      <c r="G846" s="35"/>
      <c r="I846" s="35"/>
      <c r="K846" s="35"/>
      <c r="L846" s="35"/>
      <c r="N846" s="41"/>
      <c r="O846" s="41"/>
      <c r="P846" s="41"/>
      <c r="Q846" s="41"/>
      <c r="R846" s="41"/>
    </row>
    <row r="847">
      <c r="C847" s="35"/>
      <c r="E847" s="35"/>
      <c r="G847" s="35"/>
      <c r="I847" s="35"/>
      <c r="K847" s="35"/>
      <c r="L847" s="35"/>
      <c r="N847" s="41"/>
      <c r="O847" s="41"/>
      <c r="P847" s="41"/>
      <c r="Q847" s="41"/>
      <c r="R847" s="41"/>
    </row>
    <row r="848">
      <c r="C848" s="35"/>
      <c r="E848" s="35"/>
      <c r="G848" s="35"/>
      <c r="I848" s="35"/>
      <c r="K848" s="35"/>
      <c r="L848" s="35"/>
      <c r="N848" s="41"/>
      <c r="O848" s="41"/>
      <c r="P848" s="41"/>
      <c r="Q848" s="41"/>
      <c r="R848" s="41"/>
    </row>
    <row r="849">
      <c r="C849" s="35"/>
      <c r="E849" s="35"/>
      <c r="G849" s="35"/>
      <c r="I849" s="35"/>
      <c r="K849" s="35"/>
      <c r="L849" s="35"/>
      <c r="N849" s="41"/>
      <c r="O849" s="41"/>
      <c r="P849" s="41"/>
      <c r="Q849" s="41"/>
      <c r="R849" s="41"/>
    </row>
    <row r="850">
      <c r="C850" s="35"/>
      <c r="E850" s="35"/>
      <c r="G850" s="35"/>
      <c r="I850" s="35"/>
      <c r="K850" s="35"/>
      <c r="L850" s="35"/>
      <c r="N850" s="41"/>
      <c r="O850" s="41"/>
      <c r="P850" s="41"/>
      <c r="Q850" s="41"/>
      <c r="R850" s="41"/>
    </row>
    <row r="851">
      <c r="C851" s="35"/>
      <c r="E851" s="35"/>
      <c r="G851" s="35"/>
      <c r="I851" s="35"/>
      <c r="K851" s="35"/>
      <c r="L851" s="35"/>
      <c r="N851" s="41"/>
      <c r="O851" s="41"/>
      <c r="P851" s="41"/>
      <c r="Q851" s="41"/>
      <c r="R851" s="41"/>
    </row>
    <row r="852">
      <c r="C852" s="35"/>
      <c r="E852" s="35"/>
      <c r="G852" s="35"/>
      <c r="I852" s="35"/>
      <c r="K852" s="35"/>
      <c r="L852" s="35"/>
      <c r="N852" s="41"/>
      <c r="O852" s="41"/>
      <c r="P852" s="41"/>
      <c r="Q852" s="41"/>
      <c r="R852" s="41"/>
    </row>
    <row r="853">
      <c r="C853" s="35"/>
      <c r="E853" s="35"/>
      <c r="G853" s="35"/>
      <c r="I853" s="35"/>
      <c r="K853" s="35"/>
      <c r="L853" s="35"/>
      <c r="N853" s="41"/>
      <c r="O853" s="41"/>
      <c r="P853" s="41"/>
      <c r="Q853" s="41"/>
      <c r="R853" s="41"/>
    </row>
    <row r="854">
      <c r="C854" s="35"/>
      <c r="E854" s="35"/>
      <c r="G854" s="35"/>
      <c r="I854" s="35"/>
      <c r="K854" s="35"/>
      <c r="L854" s="35"/>
      <c r="N854" s="41"/>
      <c r="O854" s="41"/>
      <c r="P854" s="41"/>
      <c r="Q854" s="41"/>
      <c r="R854" s="41"/>
    </row>
    <row r="855">
      <c r="C855" s="35"/>
      <c r="E855" s="35"/>
      <c r="G855" s="35"/>
      <c r="I855" s="35"/>
      <c r="K855" s="35"/>
      <c r="L855" s="35"/>
      <c r="N855" s="41"/>
      <c r="O855" s="41"/>
      <c r="P855" s="41"/>
      <c r="Q855" s="41"/>
      <c r="R855" s="41"/>
    </row>
    <row r="856">
      <c r="C856" s="35"/>
      <c r="E856" s="35"/>
      <c r="G856" s="35"/>
      <c r="I856" s="35"/>
      <c r="K856" s="35"/>
      <c r="L856" s="35"/>
      <c r="N856" s="41"/>
      <c r="O856" s="41"/>
      <c r="P856" s="41"/>
      <c r="Q856" s="41"/>
      <c r="R856" s="41"/>
    </row>
    <row r="857">
      <c r="C857" s="35"/>
      <c r="E857" s="35"/>
      <c r="G857" s="35"/>
      <c r="I857" s="35"/>
      <c r="K857" s="35"/>
      <c r="L857" s="35"/>
      <c r="N857" s="41"/>
      <c r="O857" s="41"/>
      <c r="P857" s="41"/>
      <c r="Q857" s="41"/>
      <c r="R857" s="41"/>
    </row>
    <row r="858">
      <c r="C858" s="35"/>
      <c r="E858" s="35"/>
      <c r="G858" s="35"/>
      <c r="I858" s="35"/>
      <c r="K858" s="35"/>
      <c r="L858" s="35"/>
      <c r="N858" s="41"/>
      <c r="O858" s="41"/>
      <c r="P858" s="41"/>
      <c r="Q858" s="41"/>
      <c r="R858" s="41"/>
    </row>
    <row r="859">
      <c r="C859" s="35"/>
      <c r="E859" s="35"/>
      <c r="G859" s="35"/>
      <c r="I859" s="35"/>
      <c r="K859" s="35"/>
      <c r="L859" s="35"/>
      <c r="N859" s="41"/>
      <c r="O859" s="41"/>
      <c r="P859" s="41"/>
      <c r="Q859" s="41"/>
      <c r="R859" s="41"/>
    </row>
    <row r="860">
      <c r="C860" s="35"/>
      <c r="E860" s="35"/>
      <c r="G860" s="35"/>
      <c r="I860" s="35"/>
      <c r="K860" s="35"/>
      <c r="L860" s="35"/>
      <c r="N860" s="41"/>
      <c r="O860" s="41"/>
      <c r="P860" s="41"/>
      <c r="Q860" s="41"/>
      <c r="R860" s="41"/>
    </row>
    <row r="861">
      <c r="C861" s="35"/>
      <c r="E861" s="35"/>
      <c r="G861" s="35"/>
      <c r="I861" s="35"/>
      <c r="K861" s="35"/>
      <c r="L861" s="35"/>
      <c r="N861" s="41"/>
      <c r="O861" s="41"/>
      <c r="P861" s="41"/>
      <c r="Q861" s="41"/>
      <c r="R861" s="41"/>
    </row>
    <row r="862">
      <c r="C862" s="35"/>
      <c r="E862" s="35"/>
      <c r="G862" s="35"/>
      <c r="I862" s="35"/>
      <c r="K862" s="35"/>
      <c r="L862" s="35"/>
      <c r="N862" s="41"/>
      <c r="O862" s="41"/>
      <c r="P862" s="41"/>
      <c r="Q862" s="41"/>
      <c r="R862" s="41"/>
    </row>
    <row r="863">
      <c r="C863" s="35"/>
      <c r="E863" s="35"/>
      <c r="G863" s="35"/>
      <c r="I863" s="35"/>
      <c r="K863" s="35"/>
      <c r="L863" s="35"/>
      <c r="N863" s="41"/>
      <c r="O863" s="41"/>
      <c r="P863" s="41"/>
      <c r="Q863" s="41"/>
      <c r="R863" s="41"/>
    </row>
    <row r="864">
      <c r="C864" s="35"/>
      <c r="E864" s="35"/>
      <c r="G864" s="35"/>
      <c r="I864" s="35"/>
      <c r="K864" s="35"/>
      <c r="L864" s="35"/>
      <c r="N864" s="41"/>
      <c r="O864" s="41"/>
      <c r="P864" s="41"/>
      <c r="Q864" s="41"/>
      <c r="R864" s="41"/>
    </row>
    <row r="865">
      <c r="C865" s="35"/>
      <c r="E865" s="35"/>
      <c r="G865" s="35"/>
      <c r="I865" s="35"/>
      <c r="K865" s="35"/>
      <c r="L865" s="35"/>
      <c r="N865" s="41"/>
      <c r="O865" s="41"/>
      <c r="P865" s="41"/>
      <c r="Q865" s="41"/>
      <c r="R865" s="41"/>
    </row>
    <row r="866">
      <c r="C866" s="35"/>
      <c r="E866" s="35"/>
      <c r="G866" s="35"/>
      <c r="I866" s="35"/>
      <c r="K866" s="35"/>
      <c r="L866" s="35"/>
      <c r="N866" s="41"/>
      <c r="O866" s="41"/>
      <c r="P866" s="41"/>
      <c r="Q866" s="41"/>
      <c r="R866" s="41"/>
    </row>
    <row r="867">
      <c r="C867" s="35"/>
      <c r="E867" s="35"/>
      <c r="G867" s="35"/>
      <c r="I867" s="35"/>
      <c r="K867" s="35"/>
      <c r="L867" s="35"/>
      <c r="N867" s="41"/>
      <c r="O867" s="41"/>
      <c r="P867" s="41"/>
      <c r="Q867" s="41"/>
      <c r="R867" s="41"/>
    </row>
    <row r="868">
      <c r="C868" s="35"/>
      <c r="E868" s="35"/>
      <c r="G868" s="35"/>
      <c r="I868" s="35"/>
      <c r="K868" s="35"/>
      <c r="L868" s="35"/>
      <c r="N868" s="41"/>
      <c r="O868" s="41"/>
      <c r="P868" s="41"/>
      <c r="Q868" s="41"/>
      <c r="R868" s="41"/>
    </row>
    <row r="869">
      <c r="C869" s="35"/>
      <c r="E869" s="35"/>
      <c r="G869" s="35"/>
      <c r="I869" s="35"/>
      <c r="K869" s="35"/>
      <c r="L869" s="35"/>
      <c r="N869" s="41"/>
      <c r="O869" s="41"/>
      <c r="P869" s="41"/>
      <c r="Q869" s="41"/>
      <c r="R869" s="41"/>
    </row>
    <row r="870">
      <c r="C870" s="35"/>
      <c r="E870" s="35"/>
      <c r="G870" s="35"/>
      <c r="I870" s="35"/>
      <c r="K870" s="35"/>
      <c r="L870" s="35"/>
      <c r="N870" s="41"/>
      <c r="O870" s="41"/>
      <c r="P870" s="41"/>
      <c r="Q870" s="41"/>
      <c r="R870" s="41"/>
    </row>
    <row r="871">
      <c r="C871" s="35"/>
      <c r="E871" s="35"/>
      <c r="G871" s="35"/>
      <c r="I871" s="35"/>
      <c r="K871" s="35"/>
      <c r="L871" s="35"/>
      <c r="N871" s="41"/>
      <c r="O871" s="41"/>
      <c r="P871" s="41"/>
      <c r="Q871" s="41"/>
      <c r="R871" s="41"/>
    </row>
    <row r="872">
      <c r="C872" s="35"/>
      <c r="E872" s="35"/>
      <c r="G872" s="35"/>
      <c r="I872" s="35"/>
      <c r="K872" s="35"/>
      <c r="L872" s="35"/>
      <c r="N872" s="41"/>
      <c r="O872" s="41"/>
      <c r="P872" s="41"/>
      <c r="Q872" s="41"/>
      <c r="R872" s="41"/>
    </row>
    <row r="873">
      <c r="C873" s="35"/>
      <c r="E873" s="35"/>
      <c r="G873" s="35"/>
      <c r="I873" s="35"/>
      <c r="K873" s="35"/>
      <c r="L873" s="35"/>
      <c r="N873" s="41"/>
      <c r="O873" s="41"/>
      <c r="P873" s="41"/>
      <c r="Q873" s="41"/>
      <c r="R873" s="41"/>
    </row>
    <row r="874">
      <c r="C874" s="35"/>
      <c r="E874" s="35"/>
      <c r="G874" s="35"/>
      <c r="I874" s="35"/>
      <c r="K874" s="35"/>
      <c r="L874" s="35"/>
      <c r="N874" s="41"/>
      <c r="O874" s="41"/>
      <c r="P874" s="41"/>
      <c r="Q874" s="41"/>
      <c r="R874" s="41"/>
    </row>
    <row r="875">
      <c r="C875" s="35"/>
      <c r="E875" s="35"/>
      <c r="G875" s="35"/>
      <c r="I875" s="35"/>
      <c r="K875" s="35"/>
      <c r="L875" s="35"/>
      <c r="N875" s="41"/>
      <c r="O875" s="41"/>
      <c r="P875" s="41"/>
      <c r="Q875" s="41"/>
      <c r="R875" s="41"/>
    </row>
    <row r="876">
      <c r="C876" s="35"/>
      <c r="E876" s="35"/>
      <c r="G876" s="35"/>
      <c r="I876" s="35"/>
      <c r="K876" s="35"/>
      <c r="L876" s="35"/>
      <c r="N876" s="41"/>
      <c r="O876" s="41"/>
      <c r="P876" s="41"/>
      <c r="Q876" s="41"/>
      <c r="R876" s="41"/>
    </row>
    <row r="877">
      <c r="C877" s="35"/>
      <c r="E877" s="35"/>
      <c r="G877" s="35"/>
      <c r="I877" s="35"/>
      <c r="K877" s="35"/>
      <c r="L877" s="35"/>
      <c r="N877" s="41"/>
      <c r="O877" s="41"/>
      <c r="P877" s="41"/>
      <c r="Q877" s="41"/>
      <c r="R877" s="41"/>
    </row>
    <row r="878">
      <c r="C878" s="35"/>
      <c r="E878" s="35"/>
      <c r="G878" s="35"/>
      <c r="I878" s="35"/>
      <c r="K878" s="35"/>
      <c r="L878" s="35"/>
      <c r="N878" s="41"/>
      <c r="O878" s="41"/>
      <c r="P878" s="41"/>
      <c r="Q878" s="41"/>
      <c r="R878" s="41"/>
    </row>
    <row r="879">
      <c r="C879" s="35"/>
      <c r="E879" s="35"/>
      <c r="G879" s="35"/>
      <c r="I879" s="35"/>
      <c r="K879" s="35"/>
      <c r="L879" s="35"/>
      <c r="N879" s="41"/>
      <c r="O879" s="41"/>
      <c r="P879" s="41"/>
      <c r="Q879" s="41"/>
      <c r="R879" s="41"/>
    </row>
    <row r="880">
      <c r="C880" s="35"/>
      <c r="E880" s="35"/>
      <c r="G880" s="35"/>
      <c r="I880" s="35"/>
      <c r="K880" s="35"/>
      <c r="L880" s="35"/>
      <c r="N880" s="41"/>
      <c r="O880" s="41"/>
      <c r="P880" s="41"/>
      <c r="Q880" s="41"/>
      <c r="R880" s="41"/>
    </row>
    <row r="881">
      <c r="C881" s="35"/>
      <c r="E881" s="35"/>
      <c r="G881" s="35"/>
      <c r="I881" s="35"/>
      <c r="K881" s="35"/>
      <c r="L881" s="35"/>
      <c r="N881" s="41"/>
      <c r="O881" s="41"/>
      <c r="P881" s="41"/>
      <c r="Q881" s="41"/>
      <c r="R881" s="41"/>
    </row>
    <row r="882">
      <c r="C882" s="35"/>
      <c r="E882" s="35"/>
      <c r="G882" s="35"/>
      <c r="I882" s="35"/>
      <c r="K882" s="35"/>
      <c r="L882" s="35"/>
      <c r="N882" s="41"/>
      <c r="O882" s="41"/>
      <c r="P882" s="41"/>
      <c r="Q882" s="41"/>
      <c r="R882" s="41"/>
    </row>
    <row r="883">
      <c r="C883" s="35"/>
      <c r="E883" s="35"/>
      <c r="G883" s="35"/>
      <c r="I883" s="35"/>
      <c r="K883" s="35"/>
      <c r="L883" s="35"/>
      <c r="N883" s="41"/>
      <c r="O883" s="41"/>
      <c r="P883" s="41"/>
      <c r="Q883" s="41"/>
      <c r="R883" s="41"/>
    </row>
    <row r="884">
      <c r="C884" s="35"/>
      <c r="E884" s="35"/>
      <c r="G884" s="35"/>
      <c r="I884" s="35"/>
      <c r="K884" s="35"/>
      <c r="L884" s="35"/>
      <c r="N884" s="41"/>
      <c r="O884" s="41"/>
      <c r="P884" s="41"/>
      <c r="Q884" s="41"/>
      <c r="R884" s="41"/>
    </row>
    <row r="885">
      <c r="C885" s="35"/>
      <c r="E885" s="35"/>
      <c r="G885" s="35"/>
      <c r="I885" s="35"/>
      <c r="K885" s="35"/>
      <c r="L885" s="35"/>
      <c r="N885" s="41"/>
      <c r="O885" s="41"/>
      <c r="P885" s="41"/>
      <c r="Q885" s="41"/>
      <c r="R885" s="41"/>
    </row>
    <row r="886">
      <c r="C886" s="35"/>
      <c r="E886" s="35"/>
      <c r="G886" s="35"/>
      <c r="I886" s="35"/>
      <c r="K886" s="35"/>
      <c r="L886" s="35"/>
      <c r="N886" s="41"/>
      <c r="O886" s="41"/>
      <c r="P886" s="41"/>
      <c r="Q886" s="41"/>
      <c r="R886" s="41"/>
    </row>
    <row r="887">
      <c r="C887" s="35"/>
      <c r="E887" s="35"/>
      <c r="G887" s="35"/>
      <c r="I887" s="35"/>
      <c r="K887" s="35"/>
      <c r="L887" s="35"/>
      <c r="N887" s="41"/>
      <c r="O887" s="41"/>
      <c r="P887" s="41"/>
      <c r="Q887" s="41"/>
      <c r="R887" s="41"/>
    </row>
    <row r="888">
      <c r="C888" s="35"/>
      <c r="E888" s="35"/>
      <c r="G888" s="35"/>
      <c r="I888" s="35"/>
      <c r="K888" s="35"/>
      <c r="L888" s="35"/>
      <c r="N888" s="41"/>
      <c r="O888" s="41"/>
      <c r="P888" s="41"/>
      <c r="Q888" s="41"/>
      <c r="R888" s="41"/>
    </row>
    <row r="889">
      <c r="C889" s="35"/>
      <c r="E889" s="35"/>
      <c r="G889" s="35"/>
      <c r="I889" s="35"/>
      <c r="K889" s="35"/>
      <c r="L889" s="35"/>
      <c r="N889" s="41"/>
      <c r="O889" s="41"/>
      <c r="P889" s="41"/>
      <c r="Q889" s="41"/>
      <c r="R889" s="41"/>
    </row>
    <row r="890">
      <c r="C890" s="35"/>
      <c r="E890" s="35"/>
      <c r="G890" s="35"/>
      <c r="I890" s="35"/>
      <c r="K890" s="35"/>
      <c r="L890" s="35"/>
      <c r="N890" s="41"/>
      <c r="O890" s="41"/>
      <c r="P890" s="41"/>
      <c r="Q890" s="41"/>
      <c r="R890" s="41"/>
    </row>
    <row r="891">
      <c r="C891" s="35"/>
      <c r="E891" s="35"/>
      <c r="G891" s="35"/>
      <c r="I891" s="35"/>
      <c r="K891" s="35"/>
      <c r="L891" s="35"/>
      <c r="N891" s="41"/>
      <c r="O891" s="41"/>
      <c r="P891" s="41"/>
      <c r="Q891" s="41"/>
      <c r="R891" s="41"/>
    </row>
    <row r="892">
      <c r="C892" s="35"/>
      <c r="E892" s="35"/>
      <c r="G892" s="35"/>
      <c r="I892" s="35"/>
      <c r="K892" s="35"/>
      <c r="L892" s="35"/>
      <c r="N892" s="41"/>
      <c r="O892" s="41"/>
      <c r="P892" s="41"/>
      <c r="Q892" s="41"/>
      <c r="R892" s="41"/>
    </row>
    <row r="893">
      <c r="C893" s="35"/>
      <c r="E893" s="35"/>
      <c r="G893" s="35"/>
      <c r="I893" s="35"/>
      <c r="K893" s="35"/>
      <c r="L893" s="35"/>
      <c r="N893" s="41"/>
      <c r="O893" s="41"/>
      <c r="P893" s="41"/>
      <c r="Q893" s="41"/>
      <c r="R893" s="41"/>
    </row>
    <row r="894">
      <c r="C894" s="35"/>
      <c r="E894" s="35"/>
      <c r="G894" s="35"/>
      <c r="I894" s="35"/>
      <c r="K894" s="35"/>
      <c r="L894" s="35"/>
      <c r="N894" s="41"/>
      <c r="O894" s="41"/>
      <c r="P894" s="41"/>
      <c r="Q894" s="41"/>
      <c r="R894" s="41"/>
    </row>
    <row r="895">
      <c r="C895" s="35"/>
      <c r="E895" s="35"/>
      <c r="G895" s="35"/>
      <c r="I895" s="35"/>
      <c r="K895" s="35"/>
      <c r="L895" s="35"/>
      <c r="N895" s="41"/>
      <c r="O895" s="41"/>
      <c r="P895" s="41"/>
      <c r="Q895" s="41"/>
      <c r="R895" s="41"/>
    </row>
    <row r="896">
      <c r="C896" s="35"/>
      <c r="E896" s="35"/>
      <c r="G896" s="35"/>
      <c r="I896" s="35"/>
      <c r="K896" s="35"/>
      <c r="L896" s="35"/>
      <c r="N896" s="41"/>
      <c r="O896" s="41"/>
      <c r="P896" s="41"/>
      <c r="Q896" s="41"/>
      <c r="R896" s="41"/>
    </row>
    <row r="897">
      <c r="C897" s="35"/>
      <c r="E897" s="35"/>
      <c r="G897" s="35"/>
      <c r="I897" s="35"/>
      <c r="K897" s="35"/>
      <c r="L897" s="35"/>
      <c r="N897" s="41"/>
      <c r="O897" s="41"/>
      <c r="P897" s="41"/>
      <c r="Q897" s="41"/>
      <c r="R897" s="41"/>
    </row>
    <row r="898">
      <c r="C898" s="35"/>
      <c r="E898" s="35"/>
      <c r="G898" s="35"/>
      <c r="I898" s="35"/>
      <c r="K898" s="35"/>
      <c r="L898" s="35"/>
      <c r="N898" s="41"/>
      <c r="O898" s="41"/>
      <c r="P898" s="41"/>
      <c r="Q898" s="41"/>
      <c r="R898" s="41"/>
    </row>
    <row r="899">
      <c r="C899" s="35"/>
      <c r="E899" s="35"/>
      <c r="G899" s="35"/>
      <c r="I899" s="35"/>
      <c r="K899" s="35"/>
      <c r="L899" s="35"/>
      <c r="N899" s="41"/>
      <c r="O899" s="41"/>
      <c r="P899" s="41"/>
      <c r="Q899" s="41"/>
      <c r="R899" s="41"/>
    </row>
    <row r="900">
      <c r="C900" s="35"/>
      <c r="E900" s="35"/>
      <c r="G900" s="35"/>
      <c r="I900" s="35"/>
      <c r="K900" s="35"/>
      <c r="L900" s="35"/>
      <c r="N900" s="41"/>
      <c r="O900" s="41"/>
      <c r="P900" s="41"/>
      <c r="Q900" s="41"/>
      <c r="R900" s="41"/>
    </row>
    <row r="901">
      <c r="C901" s="35"/>
      <c r="E901" s="35"/>
      <c r="G901" s="35"/>
      <c r="I901" s="35"/>
      <c r="K901" s="35"/>
      <c r="L901" s="35"/>
      <c r="N901" s="41"/>
      <c r="O901" s="41"/>
      <c r="P901" s="41"/>
      <c r="Q901" s="41"/>
      <c r="R901" s="41"/>
    </row>
    <row r="902">
      <c r="C902" s="35"/>
      <c r="E902" s="35"/>
      <c r="G902" s="35"/>
      <c r="I902" s="35"/>
      <c r="K902" s="35"/>
      <c r="L902" s="35"/>
      <c r="N902" s="41"/>
      <c r="O902" s="41"/>
      <c r="P902" s="41"/>
      <c r="Q902" s="41"/>
      <c r="R902" s="41"/>
    </row>
    <row r="903">
      <c r="C903" s="35"/>
      <c r="E903" s="35"/>
      <c r="G903" s="35"/>
      <c r="I903" s="35"/>
      <c r="K903" s="35"/>
      <c r="L903" s="35"/>
      <c r="N903" s="41"/>
      <c r="O903" s="41"/>
      <c r="P903" s="41"/>
      <c r="Q903" s="41"/>
      <c r="R903" s="41"/>
    </row>
    <row r="904">
      <c r="C904" s="35"/>
      <c r="E904" s="35"/>
      <c r="G904" s="35"/>
      <c r="I904" s="35"/>
      <c r="K904" s="35"/>
      <c r="L904" s="35"/>
      <c r="N904" s="41"/>
      <c r="O904" s="41"/>
      <c r="P904" s="41"/>
      <c r="Q904" s="41"/>
      <c r="R904" s="41"/>
    </row>
    <row r="905">
      <c r="C905" s="35"/>
      <c r="E905" s="35"/>
      <c r="G905" s="35"/>
      <c r="I905" s="35"/>
      <c r="K905" s="35"/>
      <c r="L905" s="35"/>
      <c r="N905" s="41"/>
      <c r="O905" s="41"/>
      <c r="P905" s="41"/>
      <c r="Q905" s="41"/>
      <c r="R905" s="41"/>
    </row>
    <row r="906">
      <c r="C906" s="35"/>
      <c r="E906" s="35"/>
      <c r="G906" s="35"/>
      <c r="I906" s="35"/>
      <c r="K906" s="35"/>
      <c r="L906" s="35"/>
      <c r="N906" s="41"/>
      <c r="O906" s="41"/>
      <c r="P906" s="41"/>
      <c r="Q906" s="41"/>
      <c r="R906" s="41"/>
    </row>
    <row r="907">
      <c r="C907" s="35"/>
      <c r="E907" s="35"/>
      <c r="G907" s="35"/>
      <c r="I907" s="35"/>
      <c r="K907" s="35"/>
      <c r="L907" s="35"/>
      <c r="N907" s="41"/>
      <c r="O907" s="41"/>
      <c r="P907" s="41"/>
      <c r="Q907" s="41"/>
      <c r="R907" s="41"/>
    </row>
    <row r="908">
      <c r="C908" s="35"/>
      <c r="E908" s="35"/>
      <c r="G908" s="35"/>
      <c r="I908" s="35"/>
      <c r="K908" s="35"/>
      <c r="L908" s="35"/>
      <c r="N908" s="41"/>
      <c r="O908" s="41"/>
      <c r="P908" s="41"/>
      <c r="Q908" s="41"/>
      <c r="R908" s="41"/>
    </row>
    <row r="909">
      <c r="C909" s="35"/>
      <c r="E909" s="35"/>
      <c r="G909" s="35"/>
      <c r="I909" s="35"/>
      <c r="K909" s="35"/>
      <c r="L909" s="35"/>
      <c r="N909" s="41"/>
      <c r="O909" s="41"/>
      <c r="P909" s="41"/>
      <c r="Q909" s="41"/>
      <c r="R909" s="41"/>
    </row>
    <row r="910">
      <c r="C910" s="35"/>
      <c r="E910" s="35"/>
      <c r="G910" s="35"/>
      <c r="I910" s="35"/>
      <c r="K910" s="35"/>
      <c r="L910" s="35"/>
      <c r="N910" s="41"/>
      <c r="O910" s="41"/>
      <c r="P910" s="41"/>
      <c r="Q910" s="41"/>
      <c r="R910" s="41"/>
    </row>
    <row r="911">
      <c r="C911" s="35"/>
      <c r="E911" s="35"/>
      <c r="G911" s="35"/>
      <c r="I911" s="35"/>
      <c r="K911" s="35"/>
      <c r="L911" s="35"/>
      <c r="N911" s="41"/>
      <c r="O911" s="41"/>
      <c r="P911" s="41"/>
      <c r="Q911" s="41"/>
      <c r="R911" s="41"/>
    </row>
    <row r="912">
      <c r="C912" s="35"/>
      <c r="E912" s="35"/>
      <c r="G912" s="35"/>
      <c r="I912" s="35"/>
      <c r="K912" s="35"/>
      <c r="L912" s="35"/>
      <c r="N912" s="41"/>
      <c r="O912" s="41"/>
      <c r="P912" s="41"/>
      <c r="Q912" s="41"/>
      <c r="R912" s="41"/>
    </row>
    <row r="913">
      <c r="C913" s="35"/>
      <c r="E913" s="35"/>
      <c r="G913" s="35"/>
      <c r="I913" s="35"/>
      <c r="K913" s="35"/>
      <c r="L913" s="35"/>
      <c r="N913" s="41"/>
      <c r="O913" s="41"/>
      <c r="P913" s="41"/>
      <c r="Q913" s="41"/>
      <c r="R913" s="41"/>
    </row>
    <row r="914">
      <c r="C914" s="35"/>
      <c r="E914" s="35"/>
      <c r="G914" s="35"/>
      <c r="I914" s="35"/>
      <c r="K914" s="35"/>
      <c r="L914" s="35"/>
      <c r="N914" s="41"/>
      <c r="O914" s="41"/>
      <c r="P914" s="41"/>
      <c r="Q914" s="41"/>
      <c r="R914" s="41"/>
    </row>
    <row r="915">
      <c r="C915" s="35"/>
      <c r="E915" s="35"/>
      <c r="G915" s="35"/>
      <c r="I915" s="35"/>
      <c r="K915" s="35"/>
      <c r="L915" s="35"/>
      <c r="N915" s="41"/>
      <c r="O915" s="41"/>
      <c r="P915" s="41"/>
      <c r="Q915" s="41"/>
      <c r="R915" s="41"/>
    </row>
    <row r="916">
      <c r="C916" s="35"/>
      <c r="E916" s="35"/>
      <c r="G916" s="35"/>
      <c r="I916" s="35"/>
      <c r="K916" s="35"/>
      <c r="L916" s="35"/>
      <c r="N916" s="41"/>
      <c r="O916" s="41"/>
      <c r="P916" s="41"/>
      <c r="Q916" s="41"/>
      <c r="R916" s="41"/>
    </row>
    <row r="917">
      <c r="C917" s="35"/>
      <c r="E917" s="35"/>
      <c r="G917" s="35"/>
      <c r="I917" s="35"/>
      <c r="K917" s="35"/>
      <c r="L917" s="35"/>
      <c r="N917" s="41"/>
      <c r="O917" s="41"/>
      <c r="P917" s="41"/>
      <c r="Q917" s="41"/>
      <c r="R917" s="41"/>
    </row>
    <row r="918">
      <c r="C918" s="35"/>
      <c r="E918" s="35"/>
      <c r="G918" s="35"/>
      <c r="I918" s="35"/>
      <c r="K918" s="35"/>
      <c r="L918" s="35"/>
      <c r="N918" s="41"/>
      <c r="O918" s="41"/>
      <c r="P918" s="41"/>
      <c r="Q918" s="41"/>
      <c r="R918" s="41"/>
    </row>
    <row r="919">
      <c r="C919" s="35"/>
      <c r="E919" s="35"/>
      <c r="G919" s="35"/>
      <c r="I919" s="35"/>
      <c r="K919" s="35"/>
      <c r="L919" s="35"/>
      <c r="N919" s="41"/>
      <c r="O919" s="41"/>
      <c r="P919" s="41"/>
      <c r="Q919" s="41"/>
      <c r="R919" s="41"/>
    </row>
    <row r="920">
      <c r="C920" s="35"/>
      <c r="E920" s="35"/>
      <c r="G920" s="35"/>
      <c r="I920" s="35"/>
      <c r="K920" s="35"/>
      <c r="L920" s="35"/>
      <c r="N920" s="41"/>
      <c r="O920" s="41"/>
      <c r="P920" s="41"/>
      <c r="Q920" s="41"/>
      <c r="R920" s="41"/>
    </row>
    <row r="921">
      <c r="C921" s="35"/>
      <c r="E921" s="35"/>
      <c r="G921" s="35"/>
      <c r="I921" s="35"/>
      <c r="K921" s="35"/>
      <c r="L921" s="35"/>
      <c r="N921" s="41"/>
      <c r="O921" s="41"/>
      <c r="P921" s="41"/>
      <c r="Q921" s="41"/>
      <c r="R921" s="41"/>
    </row>
    <row r="922">
      <c r="C922" s="35"/>
      <c r="E922" s="35"/>
      <c r="G922" s="35"/>
      <c r="I922" s="35"/>
      <c r="K922" s="35"/>
      <c r="L922" s="35"/>
      <c r="N922" s="41"/>
      <c r="O922" s="41"/>
      <c r="P922" s="41"/>
      <c r="Q922" s="41"/>
      <c r="R922" s="41"/>
    </row>
    <row r="923">
      <c r="C923" s="35"/>
      <c r="E923" s="35"/>
      <c r="G923" s="35"/>
      <c r="I923" s="35"/>
      <c r="K923" s="35"/>
      <c r="L923" s="35"/>
      <c r="N923" s="41"/>
      <c r="O923" s="41"/>
      <c r="P923" s="41"/>
      <c r="Q923" s="41"/>
      <c r="R923" s="41"/>
    </row>
    <row r="924">
      <c r="C924" s="35"/>
      <c r="E924" s="35"/>
      <c r="G924" s="35"/>
      <c r="I924" s="35"/>
      <c r="K924" s="35"/>
      <c r="L924" s="35"/>
      <c r="N924" s="41"/>
      <c r="O924" s="41"/>
      <c r="P924" s="41"/>
      <c r="Q924" s="41"/>
      <c r="R924" s="41"/>
    </row>
    <row r="925">
      <c r="C925" s="35"/>
      <c r="E925" s="35"/>
      <c r="G925" s="35"/>
      <c r="I925" s="35"/>
      <c r="K925" s="35"/>
      <c r="L925" s="35"/>
      <c r="N925" s="41"/>
      <c r="O925" s="41"/>
      <c r="P925" s="41"/>
      <c r="Q925" s="41"/>
      <c r="R925" s="41"/>
    </row>
    <row r="926">
      <c r="C926" s="35"/>
      <c r="E926" s="35"/>
      <c r="G926" s="35"/>
      <c r="I926" s="35"/>
      <c r="K926" s="35"/>
      <c r="L926" s="35"/>
      <c r="N926" s="41"/>
      <c r="O926" s="41"/>
      <c r="P926" s="41"/>
      <c r="Q926" s="41"/>
      <c r="R926" s="41"/>
    </row>
    <row r="927">
      <c r="C927" s="35"/>
      <c r="E927" s="35"/>
      <c r="G927" s="35"/>
      <c r="I927" s="35"/>
      <c r="K927" s="35"/>
      <c r="L927" s="35"/>
      <c r="N927" s="41"/>
      <c r="O927" s="41"/>
      <c r="P927" s="41"/>
      <c r="Q927" s="41"/>
      <c r="R927" s="41"/>
    </row>
    <row r="928">
      <c r="C928" s="35"/>
      <c r="E928" s="35"/>
      <c r="G928" s="35"/>
      <c r="I928" s="35"/>
      <c r="K928" s="35"/>
      <c r="L928" s="35"/>
      <c r="N928" s="41"/>
      <c r="O928" s="41"/>
      <c r="P928" s="41"/>
      <c r="Q928" s="41"/>
      <c r="R928" s="41"/>
    </row>
    <row r="929">
      <c r="C929" s="35"/>
      <c r="E929" s="35"/>
      <c r="G929" s="35"/>
      <c r="I929" s="35"/>
      <c r="K929" s="35"/>
      <c r="L929" s="35"/>
      <c r="N929" s="41"/>
      <c r="O929" s="41"/>
      <c r="P929" s="41"/>
      <c r="Q929" s="41"/>
      <c r="R929" s="41"/>
    </row>
    <row r="930">
      <c r="C930" s="35"/>
      <c r="E930" s="35"/>
      <c r="G930" s="35"/>
      <c r="I930" s="35"/>
      <c r="K930" s="35"/>
      <c r="L930" s="35"/>
      <c r="N930" s="41"/>
      <c r="O930" s="41"/>
      <c r="P930" s="41"/>
      <c r="Q930" s="41"/>
      <c r="R930" s="41"/>
    </row>
    <row r="931">
      <c r="C931" s="35"/>
      <c r="E931" s="35"/>
      <c r="G931" s="35"/>
      <c r="I931" s="35"/>
      <c r="K931" s="35"/>
      <c r="L931" s="35"/>
      <c r="N931" s="41"/>
      <c r="O931" s="41"/>
      <c r="P931" s="41"/>
      <c r="Q931" s="41"/>
      <c r="R931" s="41"/>
    </row>
    <row r="932">
      <c r="C932" s="35"/>
      <c r="E932" s="35"/>
      <c r="G932" s="35"/>
      <c r="I932" s="35"/>
      <c r="K932" s="35"/>
      <c r="L932" s="35"/>
      <c r="N932" s="41"/>
      <c r="O932" s="41"/>
      <c r="P932" s="41"/>
      <c r="Q932" s="41"/>
      <c r="R932" s="41"/>
    </row>
    <row r="933">
      <c r="C933" s="35"/>
      <c r="E933" s="35"/>
      <c r="G933" s="35"/>
      <c r="I933" s="35"/>
      <c r="K933" s="35"/>
      <c r="L933" s="35"/>
      <c r="N933" s="41"/>
      <c r="O933" s="41"/>
      <c r="P933" s="41"/>
      <c r="Q933" s="41"/>
      <c r="R933" s="41"/>
    </row>
    <row r="934">
      <c r="C934" s="35"/>
      <c r="E934" s="35"/>
      <c r="G934" s="35"/>
      <c r="I934" s="35"/>
      <c r="K934" s="35"/>
      <c r="L934" s="35"/>
      <c r="N934" s="41"/>
      <c r="O934" s="41"/>
      <c r="P934" s="41"/>
      <c r="Q934" s="41"/>
      <c r="R934" s="41"/>
    </row>
    <row r="935">
      <c r="C935" s="35"/>
      <c r="E935" s="35"/>
      <c r="G935" s="35"/>
      <c r="I935" s="35"/>
      <c r="K935" s="35"/>
      <c r="L935" s="35"/>
      <c r="N935" s="41"/>
      <c r="O935" s="41"/>
      <c r="P935" s="41"/>
      <c r="Q935" s="41"/>
      <c r="R935" s="41"/>
    </row>
    <row r="936">
      <c r="C936" s="35"/>
      <c r="E936" s="35"/>
      <c r="G936" s="35"/>
      <c r="I936" s="35"/>
      <c r="K936" s="35"/>
      <c r="L936" s="35"/>
      <c r="N936" s="41"/>
      <c r="O936" s="41"/>
      <c r="P936" s="41"/>
      <c r="Q936" s="41"/>
      <c r="R936" s="41"/>
    </row>
    <row r="937">
      <c r="C937" s="35"/>
      <c r="E937" s="35"/>
      <c r="G937" s="35"/>
      <c r="I937" s="35"/>
      <c r="K937" s="35"/>
      <c r="L937" s="35"/>
      <c r="N937" s="41"/>
      <c r="O937" s="41"/>
      <c r="P937" s="41"/>
      <c r="Q937" s="41"/>
      <c r="R937" s="41"/>
    </row>
    <row r="938">
      <c r="C938" s="35"/>
      <c r="E938" s="35"/>
      <c r="G938" s="35"/>
      <c r="I938" s="35"/>
      <c r="K938" s="35"/>
      <c r="L938" s="35"/>
      <c r="N938" s="41"/>
      <c r="O938" s="41"/>
      <c r="P938" s="41"/>
      <c r="Q938" s="41"/>
      <c r="R938" s="41"/>
    </row>
    <row r="939">
      <c r="C939" s="35"/>
      <c r="E939" s="35"/>
      <c r="G939" s="35"/>
      <c r="I939" s="35"/>
      <c r="K939" s="35"/>
      <c r="L939" s="35"/>
      <c r="N939" s="41"/>
      <c r="O939" s="41"/>
      <c r="P939" s="41"/>
      <c r="Q939" s="41"/>
      <c r="R939" s="41"/>
    </row>
    <row r="940">
      <c r="C940" s="35"/>
      <c r="E940" s="35"/>
      <c r="G940" s="35"/>
      <c r="I940" s="35"/>
      <c r="K940" s="35"/>
      <c r="L940" s="35"/>
      <c r="N940" s="41"/>
      <c r="O940" s="41"/>
      <c r="P940" s="41"/>
      <c r="Q940" s="41"/>
      <c r="R940" s="41"/>
    </row>
    <row r="941">
      <c r="C941" s="35"/>
      <c r="E941" s="35"/>
      <c r="G941" s="35"/>
      <c r="I941" s="35"/>
      <c r="K941" s="35"/>
      <c r="L941" s="35"/>
      <c r="N941" s="41"/>
      <c r="O941" s="41"/>
      <c r="P941" s="41"/>
      <c r="Q941" s="41"/>
      <c r="R941" s="41"/>
    </row>
    <row r="942">
      <c r="C942" s="35"/>
      <c r="E942" s="35"/>
      <c r="G942" s="35"/>
      <c r="I942" s="35"/>
      <c r="K942" s="35"/>
      <c r="L942" s="35"/>
      <c r="N942" s="41"/>
      <c r="O942" s="41"/>
      <c r="P942" s="41"/>
      <c r="Q942" s="41"/>
      <c r="R942" s="41"/>
    </row>
    <row r="943">
      <c r="C943" s="35"/>
      <c r="E943" s="35"/>
      <c r="G943" s="35"/>
      <c r="I943" s="35"/>
      <c r="K943" s="35"/>
      <c r="L943" s="35"/>
      <c r="N943" s="41"/>
      <c r="O943" s="41"/>
      <c r="P943" s="41"/>
      <c r="Q943" s="41"/>
      <c r="R943" s="41"/>
    </row>
    <row r="944">
      <c r="C944" s="35"/>
      <c r="E944" s="35"/>
      <c r="G944" s="35"/>
      <c r="I944" s="35"/>
      <c r="K944" s="35"/>
      <c r="L944" s="35"/>
      <c r="N944" s="41"/>
      <c r="O944" s="41"/>
      <c r="P944" s="41"/>
      <c r="Q944" s="41"/>
      <c r="R944" s="41"/>
    </row>
    <row r="945">
      <c r="C945" s="35"/>
      <c r="E945" s="35"/>
      <c r="G945" s="35"/>
      <c r="I945" s="35"/>
      <c r="K945" s="35"/>
      <c r="L945" s="35"/>
      <c r="N945" s="41"/>
      <c r="O945" s="41"/>
      <c r="P945" s="41"/>
      <c r="Q945" s="41"/>
      <c r="R945" s="41"/>
    </row>
    <row r="946">
      <c r="C946" s="35"/>
      <c r="E946" s="35"/>
      <c r="G946" s="35"/>
      <c r="I946" s="35"/>
      <c r="K946" s="35"/>
      <c r="L946" s="35"/>
      <c r="N946" s="41"/>
      <c r="O946" s="41"/>
      <c r="P946" s="41"/>
      <c r="Q946" s="41"/>
      <c r="R946" s="41"/>
    </row>
    <row r="947">
      <c r="C947" s="35"/>
      <c r="E947" s="35"/>
      <c r="G947" s="35"/>
      <c r="I947" s="35"/>
      <c r="K947" s="35"/>
      <c r="L947" s="35"/>
      <c r="N947" s="41"/>
      <c r="O947" s="41"/>
      <c r="P947" s="41"/>
      <c r="Q947" s="41"/>
      <c r="R947" s="41"/>
    </row>
    <row r="948">
      <c r="C948" s="35"/>
      <c r="E948" s="35"/>
      <c r="G948" s="35"/>
      <c r="I948" s="35"/>
      <c r="K948" s="35"/>
      <c r="L948" s="35"/>
      <c r="N948" s="41"/>
      <c r="O948" s="41"/>
      <c r="P948" s="41"/>
      <c r="Q948" s="41"/>
      <c r="R948" s="41"/>
    </row>
    <row r="949">
      <c r="C949" s="35"/>
      <c r="E949" s="35"/>
      <c r="G949" s="35"/>
      <c r="I949" s="35"/>
      <c r="K949" s="35"/>
      <c r="L949" s="35"/>
      <c r="N949" s="41"/>
      <c r="O949" s="41"/>
      <c r="P949" s="41"/>
      <c r="Q949" s="41"/>
      <c r="R949" s="41"/>
    </row>
    <row r="950">
      <c r="C950" s="35"/>
      <c r="E950" s="35"/>
      <c r="G950" s="35"/>
      <c r="I950" s="35"/>
      <c r="K950" s="35"/>
      <c r="L950" s="35"/>
      <c r="N950" s="41"/>
      <c r="O950" s="41"/>
      <c r="P950" s="41"/>
      <c r="Q950" s="41"/>
      <c r="R950" s="41"/>
    </row>
    <row r="951">
      <c r="C951" s="35"/>
      <c r="E951" s="35"/>
      <c r="G951" s="35"/>
      <c r="I951" s="35"/>
      <c r="K951" s="35"/>
      <c r="L951" s="35"/>
      <c r="N951" s="41"/>
      <c r="O951" s="41"/>
      <c r="P951" s="41"/>
      <c r="Q951" s="41"/>
      <c r="R951" s="41"/>
    </row>
    <row r="952">
      <c r="C952" s="35"/>
      <c r="E952" s="35"/>
      <c r="G952" s="35"/>
      <c r="I952" s="35"/>
      <c r="K952" s="35"/>
      <c r="L952" s="35"/>
      <c r="N952" s="41"/>
      <c r="O952" s="41"/>
      <c r="P952" s="41"/>
      <c r="Q952" s="41"/>
      <c r="R952" s="41"/>
    </row>
    <row r="953">
      <c r="C953" s="35"/>
      <c r="E953" s="35"/>
      <c r="G953" s="35"/>
      <c r="I953" s="35"/>
      <c r="K953" s="35"/>
      <c r="L953" s="35"/>
      <c r="N953" s="41"/>
      <c r="O953" s="41"/>
      <c r="P953" s="41"/>
      <c r="Q953" s="41"/>
      <c r="R953" s="41"/>
    </row>
    <row r="954">
      <c r="C954" s="35"/>
      <c r="E954" s="35"/>
      <c r="G954" s="35"/>
      <c r="I954" s="35"/>
      <c r="K954" s="35"/>
      <c r="L954" s="35"/>
      <c r="N954" s="41"/>
      <c r="O954" s="41"/>
      <c r="P954" s="41"/>
      <c r="Q954" s="41"/>
      <c r="R954" s="41"/>
    </row>
    <row r="955">
      <c r="C955" s="35"/>
      <c r="E955" s="35"/>
      <c r="G955" s="35"/>
      <c r="I955" s="35"/>
      <c r="K955" s="35"/>
      <c r="L955" s="35"/>
      <c r="N955" s="41"/>
      <c r="O955" s="41"/>
      <c r="P955" s="41"/>
      <c r="Q955" s="41"/>
      <c r="R955" s="41"/>
    </row>
    <row r="956">
      <c r="C956" s="35"/>
      <c r="E956" s="35"/>
      <c r="G956" s="35"/>
      <c r="I956" s="35"/>
      <c r="K956" s="35"/>
      <c r="L956" s="35"/>
      <c r="N956" s="41"/>
      <c r="O956" s="41"/>
      <c r="P956" s="41"/>
      <c r="Q956" s="41"/>
      <c r="R956" s="41"/>
    </row>
    <row r="957">
      <c r="C957" s="35"/>
      <c r="E957" s="35"/>
      <c r="G957" s="35"/>
      <c r="I957" s="35"/>
      <c r="K957" s="35"/>
      <c r="L957" s="35"/>
      <c r="N957" s="41"/>
      <c r="O957" s="41"/>
      <c r="P957" s="41"/>
      <c r="Q957" s="41"/>
      <c r="R957" s="41"/>
    </row>
    <row r="958">
      <c r="C958" s="35"/>
      <c r="E958" s="35"/>
      <c r="G958" s="35"/>
      <c r="I958" s="35"/>
      <c r="K958" s="35"/>
      <c r="L958" s="35"/>
      <c r="N958" s="41"/>
      <c r="O958" s="41"/>
      <c r="P958" s="41"/>
      <c r="Q958" s="41"/>
      <c r="R958" s="41"/>
    </row>
    <row r="959">
      <c r="C959" s="35"/>
      <c r="E959" s="35"/>
      <c r="G959" s="35"/>
      <c r="I959" s="35"/>
      <c r="K959" s="35"/>
      <c r="L959" s="35"/>
      <c r="N959" s="41"/>
      <c r="O959" s="41"/>
      <c r="P959" s="41"/>
      <c r="Q959" s="41"/>
      <c r="R959" s="41"/>
    </row>
    <row r="960">
      <c r="C960" s="35"/>
      <c r="E960" s="35"/>
      <c r="G960" s="35"/>
      <c r="I960" s="35"/>
      <c r="K960" s="35"/>
      <c r="L960" s="35"/>
      <c r="N960" s="41"/>
      <c r="O960" s="41"/>
      <c r="P960" s="41"/>
      <c r="Q960" s="41"/>
      <c r="R960" s="41"/>
    </row>
    <row r="961">
      <c r="C961" s="35"/>
      <c r="E961" s="35"/>
      <c r="G961" s="35"/>
      <c r="I961" s="35"/>
      <c r="K961" s="35"/>
      <c r="L961" s="35"/>
      <c r="N961" s="41"/>
      <c r="O961" s="41"/>
      <c r="P961" s="41"/>
      <c r="Q961" s="41"/>
      <c r="R961" s="41"/>
    </row>
    <row r="962">
      <c r="C962" s="35"/>
      <c r="E962" s="35"/>
      <c r="G962" s="35"/>
      <c r="I962" s="35"/>
      <c r="K962" s="35"/>
      <c r="L962" s="35"/>
      <c r="N962" s="41"/>
      <c r="O962" s="41"/>
      <c r="P962" s="41"/>
      <c r="Q962" s="41"/>
      <c r="R962" s="41"/>
    </row>
    <row r="963">
      <c r="C963" s="35"/>
      <c r="E963" s="35"/>
      <c r="G963" s="35"/>
      <c r="I963" s="35"/>
      <c r="K963" s="35"/>
      <c r="L963" s="35"/>
      <c r="N963" s="41"/>
      <c r="O963" s="41"/>
      <c r="P963" s="41"/>
      <c r="Q963" s="41"/>
      <c r="R963" s="41"/>
    </row>
    <row r="964">
      <c r="C964" s="35"/>
      <c r="E964" s="35"/>
      <c r="G964" s="35"/>
      <c r="I964" s="35"/>
      <c r="K964" s="35"/>
      <c r="L964" s="35"/>
      <c r="N964" s="41"/>
      <c r="O964" s="41"/>
      <c r="P964" s="41"/>
      <c r="Q964" s="41"/>
      <c r="R964" s="41"/>
    </row>
    <row r="965">
      <c r="C965" s="35"/>
      <c r="E965" s="35"/>
      <c r="G965" s="35"/>
      <c r="I965" s="35"/>
      <c r="K965" s="35"/>
      <c r="L965" s="35"/>
      <c r="N965" s="41"/>
      <c r="O965" s="41"/>
      <c r="P965" s="41"/>
      <c r="Q965" s="41"/>
      <c r="R965" s="41"/>
    </row>
    <row r="966">
      <c r="C966" s="35"/>
      <c r="E966" s="35"/>
      <c r="G966" s="35"/>
      <c r="I966" s="35"/>
      <c r="K966" s="35"/>
      <c r="L966" s="35"/>
      <c r="N966" s="41"/>
      <c r="O966" s="41"/>
      <c r="P966" s="41"/>
      <c r="Q966" s="41"/>
      <c r="R966" s="41"/>
    </row>
    <row r="967">
      <c r="C967" s="35"/>
      <c r="E967" s="35"/>
      <c r="G967" s="35"/>
      <c r="I967" s="35"/>
      <c r="K967" s="35"/>
      <c r="L967" s="35"/>
      <c r="N967" s="41"/>
      <c r="O967" s="41"/>
      <c r="P967" s="41"/>
      <c r="Q967" s="41"/>
      <c r="R967" s="41"/>
    </row>
    <row r="968">
      <c r="C968" s="35"/>
      <c r="E968" s="35"/>
      <c r="G968" s="35"/>
      <c r="I968" s="35"/>
      <c r="K968" s="35"/>
      <c r="L968" s="35"/>
      <c r="N968" s="41"/>
      <c r="O968" s="41"/>
      <c r="P968" s="41"/>
      <c r="Q968" s="41"/>
      <c r="R968" s="41"/>
    </row>
    <row r="969">
      <c r="C969" s="35"/>
      <c r="E969" s="35"/>
      <c r="G969" s="35"/>
      <c r="I969" s="35"/>
      <c r="K969" s="35"/>
      <c r="L969" s="35"/>
      <c r="N969" s="41"/>
      <c r="O969" s="41"/>
      <c r="P969" s="41"/>
      <c r="Q969" s="41"/>
      <c r="R969" s="41"/>
    </row>
    <row r="970">
      <c r="C970" s="35"/>
      <c r="E970" s="35"/>
      <c r="G970" s="35"/>
      <c r="I970" s="35"/>
      <c r="K970" s="35"/>
      <c r="L970" s="35"/>
      <c r="N970" s="41"/>
      <c r="O970" s="41"/>
      <c r="P970" s="41"/>
      <c r="Q970" s="41"/>
      <c r="R970" s="41"/>
    </row>
    <row r="971">
      <c r="C971" s="35"/>
      <c r="E971" s="35"/>
      <c r="G971" s="35"/>
      <c r="I971" s="35"/>
      <c r="K971" s="35"/>
      <c r="L971" s="35"/>
      <c r="N971" s="41"/>
      <c r="O971" s="41"/>
      <c r="P971" s="41"/>
      <c r="Q971" s="41"/>
      <c r="R971" s="41"/>
    </row>
    <row r="972">
      <c r="C972" s="35"/>
      <c r="E972" s="35"/>
      <c r="G972" s="35"/>
      <c r="I972" s="35"/>
      <c r="K972" s="35"/>
      <c r="L972" s="35"/>
      <c r="N972" s="41"/>
      <c r="O972" s="41"/>
      <c r="P972" s="41"/>
      <c r="Q972" s="41"/>
      <c r="R972" s="41"/>
    </row>
    <row r="973">
      <c r="C973" s="35"/>
      <c r="E973" s="35"/>
      <c r="G973" s="35"/>
      <c r="I973" s="35"/>
      <c r="K973" s="35"/>
      <c r="L973" s="35"/>
      <c r="N973" s="41"/>
      <c r="O973" s="41"/>
      <c r="P973" s="41"/>
      <c r="Q973" s="41"/>
      <c r="R973" s="41"/>
    </row>
    <row r="974">
      <c r="C974" s="35"/>
      <c r="E974" s="35"/>
      <c r="G974" s="35"/>
      <c r="I974" s="35"/>
      <c r="K974" s="35"/>
      <c r="L974" s="35"/>
      <c r="N974" s="41"/>
      <c r="O974" s="41"/>
      <c r="P974" s="41"/>
      <c r="Q974" s="41"/>
      <c r="R974" s="41"/>
    </row>
    <row r="975">
      <c r="C975" s="35"/>
      <c r="E975" s="35"/>
      <c r="G975" s="35"/>
      <c r="I975" s="35"/>
      <c r="K975" s="35"/>
      <c r="L975" s="35"/>
      <c r="N975" s="41"/>
      <c r="O975" s="41"/>
      <c r="P975" s="41"/>
      <c r="Q975" s="41"/>
      <c r="R975" s="41"/>
    </row>
    <row r="976">
      <c r="C976" s="35"/>
      <c r="E976" s="35"/>
      <c r="G976" s="35"/>
      <c r="I976" s="35"/>
      <c r="K976" s="35"/>
      <c r="L976" s="35"/>
      <c r="N976" s="41"/>
      <c r="O976" s="41"/>
      <c r="P976" s="41"/>
      <c r="Q976" s="41"/>
      <c r="R976" s="41"/>
    </row>
    <row r="977">
      <c r="C977" s="35"/>
      <c r="E977" s="35"/>
      <c r="G977" s="35"/>
      <c r="I977" s="35"/>
      <c r="K977" s="35"/>
      <c r="L977" s="35"/>
      <c r="N977" s="41"/>
      <c r="O977" s="41"/>
      <c r="P977" s="41"/>
      <c r="Q977" s="41"/>
      <c r="R977" s="41"/>
    </row>
    <row r="978">
      <c r="C978" s="35"/>
      <c r="E978" s="35"/>
      <c r="G978" s="35"/>
      <c r="I978" s="35"/>
      <c r="K978" s="35"/>
      <c r="L978" s="35"/>
      <c r="N978" s="41"/>
      <c r="O978" s="41"/>
      <c r="P978" s="41"/>
      <c r="Q978" s="41"/>
      <c r="R978" s="41"/>
    </row>
  </sheetData>
  <mergeCells count="3">
    <mergeCell ref="A1:L1"/>
    <mergeCell ref="B3:L3"/>
    <mergeCell ref="N3:R3"/>
  </mergeCells>
  <conditionalFormatting sqref="M5:M102 M117:M119">
    <cfRule type="cellIs" dxfId="0" priority="1" operator="equal">
      <formula>1</formula>
    </cfRule>
  </conditionalFormatting>
  <conditionalFormatting sqref="M5:M102 M117:M119">
    <cfRule type="cellIs" dxfId="1" priority="2" operator="notEqual">
      <formula>1</formula>
    </cfRule>
  </conditionalFormatting>
  <conditionalFormatting sqref="S5:S102 S117:S119">
    <cfRule type="cellIs" dxfId="0" priority="3" operator="equal">
      <formula>100</formula>
    </cfRule>
  </conditionalFormatting>
  <conditionalFormatting sqref="S5:S102 S117:S119">
    <cfRule type="cellIs" dxfId="1" priority="4" operator="notEqual">
      <formula>100</formula>
    </cfRule>
  </conditionalFormatting>
  <hyperlinks>
    <hyperlink r:id="rId1" ref="A105"/>
    <hyperlink r:id="rId2" ref="A106"/>
    <hyperlink r:id="rId3" ref="A109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tr">
        <f>'FOUND DATA - AVERAGE GRADES'!B4</f>
        <v># HWs</v>
      </c>
      <c r="B1" s="35" t="str">
        <f>'FOUND DATA - AVERAGE GRADES'!C4</f>
        <v>HW Weight</v>
      </c>
      <c r="C1" s="36" t="str">
        <f>'FOUND DATA - AVERAGE GRADES'!D4</f>
        <v># Project Assignments</v>
      </c>
      <c r="D1" s="35" t="str">
        <f>'FOUND DATA - AVERAGE GRADES'!E4</f>
        <v>Project Weight</v>
      </c>
      <c r="E1" s="36" t="str">
        <f>'FOUND DATA - AVERAGE GRADES'!F4</f>
        <v># Final exam</v>
      </c>
      <c r="F1" s="35" t="str">
        <f>'FOUND DATA - AVERAGE GRADES'!G4</f>
        <v>Final Weight</v>
      </c>
      <c r="G1" s="36" t="str">
        <f>'FOUND DATA - AVERAGE GRADES'!H4</f>
        <v># Other Exams</v>
      </c>
      <c r="H1" s="35" t="str">
        <f>'FOUND DATA - AVERAGE GRADES'!I4</f>
        <v>Exam Weight</v>
      </c>
      <c r="I1" s="36" t="str">
        <f>'FOUND DATA - AVERAGE GRADES'!J4</f>
        <v># Quizzes</v>
      </c>
      <c r="J1" s="35" t="str">
        <f>'FOUND DATA - AVERAGE GRADES'!K4</f>
        <v>Quiz Weight</v>
      </c>
      <c r="K1" s="35" t="str">
        <f>'FOUND DATA - AVERAGE GRADES'!L4</f>
        <v>Attend/Misc Weight</v>
      </c>
    </row>
    <row r="2">
      <c r="A2" s="36">
        <f>'FOUND DATA - AVERAGE GRADES'!B5</f>
        <v>5</v>
      </c>
      <c r="B2" s="35">
        <f>'FOUND DATA - AVERAGE GRADES'!C5</f>
        <v>0.2</v>
      </c>
      <c r="C2" s="36">
        <f>'FOUND DATA - AVERAGE GRADES'!D5</f>
        <v>10</v>
      </c>
      <c r="D2" s="35">
        <f>'FOUND DATA - AVERAGE GRADES'!E5</f>
        <v>0.6</v>
      </c>
      <c r="E2" s="36">
        <f>'FOUND DATA - AVERAGE GRADES'!F5</f>
        <v>0</v>
      </c>
      <c r="F2" s="35">
        <f>'FOUND DATA - AVERAGE GRADES'!G5</f>
        <v>0</v>
      </c>
      <c r="G2" s="36">
        <f>'FOUND DATA - AVERAGE GRADES'!H5</f>
        <v>0</v>
      </c>
      <c r="H2" s="35">
        <f>'FOUND DATA - AVERAGE GRADES'!I5</f>
        <v>0</v>
      </c>
      <c r="I2" s="36">
        <f>'FOUND DATA - AVERAGE GRADES'!J5</f>
        <v>30</v>
      </c>
      <c r="J2" s="35">
        <f>'FOUND DATA - AVERAGE GRADES'!K5</f>
        <v>0.2</v>
      </c>
      <c r="K2" s="35">
        <f>'FOUND DATA - AVERAGE GRADES'!L5</f>
        <v>0</v>
      </c>
    </row>
    <row r="3">
      <c r="A3" s="36">
        <f>'FOUND DATA - AVERAGE GRADES'!B6</f>
        <v>8</v>
      </c>
      <c r="B3" s="35">
        <f>'FOUND DATA - AVERAGE GRADES'!C6</f>
        <v>0.32</v>
      </c>
      <c r="C3" s="36">
        <f>'FOUND DATA - AVERAGE GRADES'!D6</f>
        <v>4</v>
      </c>
      <c r="D3" s="35">
        <f>'FOUND DATA - AVERAGE GRADES'!E6</f>
        <v>0.16</v>
      </c>
      <c r="E3" s="36">
        <f>'FOUND DATA - AVERAGE GRADES'!F6</f>
        <v>1</v>
      </c>
      <c r="F3" s="35">
        <f>'FOUND DATA - AVERAGE GRADES'!G6</f>
        <v>0.2</v>
      </c>
      <c r="G3" s="36">
        <f>'FOUND DATA - AVERAGE GRADES'!H6</f>
        <v>0</v>
      </c>
      <c r="H3" s="35">
        <f>'FOUND DATA - AVERAGE GRADES'!I6</f>
        <v>0</v>
      </c>
      <c r="I3" s="36">
        <f>'FOUND DATA - AVERAGE GRADES'!J6</f>
        <v>4</v>
      </c>
      <c r="J3" s="35">
        <f>'FOUND DATA - AVERAGE GRADES'!K6</f>
        <v>0.32</v>
      </c>
      <c r="K3" s="35">
        <f>'FOUND DATA - AVERAGE GRADES'!L6</f>
        <v>0</v>
      </c>
    </row>
    <row r="4">
      <c r="A4" s="36">
        <f>'FOUND DATA - AVERAGE GRADES'!B7</f>
        <v>8</v>
      </c>
      <c r="B4" s="35">
        <f>'FOUND DATA - AVERAGE GRADES'!C7</f>
        <v>0.32</v>
      </c>
      <c r="C4" s="36">
        <f>'FOUND DATA - AVERAGE GRADES'!D7</f>
        <v>4</v>
      </c>
      <c r="D4" s="35">
        <f>'FOUND DATA - AVERAGE GRADES'!E7</f>
        <v>0.16</v>
      </c>
      <c r="E4" s="36">
        <f>'FOUND DATA - AVERAGE GRADES'!F7</f>
        <v>1</v>
      </c>
      <c r="F4" s="35">
        <f>'FOUND DATA - AVERAGE GRADES'!G7</f>
        <v>0.2</v>
      </c>
      <c r="G4" s="36">
        <f>'FOUND DATA - AVERAGE GRADES'!H7</f>
        <v>0</v>
      </c>
      <c r="H4" s="35">
        <f>'FOUND DATA - AVERAGE GRADES'!I7</f>
        <v>0</v>
      </c>
      <c r="I4" s="36">
        <f>'FOUND DATA - AVERAGE GRADES'!J7</f>
        <v>4</v>
      </c>
      <c r="J4" s="35">
        <f>'FOUND DATA - AVERAGE GRADES'!K7</f>
        <v>0.32</v>
      </c>
      <c r="K4" s="35">
        <f>'FOUND DATA - AVERAGE GRADES'!L7</f>
        <v>0</v>
      </c>
    </row>
    <row r="5">
      <c r="A5" s="36">
        <f>'FOUND DATA - AVERAGE GRADES'!B8</f>
        <v>8</v>
      </c>
      <c r="B5" s="35">
        <f>'FOUND DATA - AVERAGE GRADES'!C8</f>
        <v>0.3</v>
      </c>
      <c r="C5" s="36">
        <f>'FOUND DATA - AVERAGE GRADES'!D8</f>
        <v>6</v>
      </c>
      <c r="D5" s="35">
        <f>'FOUND DATA - AVERAGE GRADES'!E8</f>
        <v>0.2</v>
      </c>
      <c r="E5" s="36">
        <f>'FOUND DATA - AVERAGE GRADES'!F8</f>
        <v>0</v>
      </c>
      <c r="F5" s="35">
        <f>'FOUND DATA - AVERAGE GRADES'!G8</f>
        <v>0</v>
      </c>
      <c r="G5" s="36">
        <f>'FOUND DATA - AVERAGE GRADES'!H8</f>
        <v>3</v>
      </c>
      <c r="H5" s="35">
        <f>'FOUND DATA - AVERAGE GRADES'!I8</f>
        <v>0.45</v>
      </c>
      <c r="I5" s="36">
        <f>'FOUND DATA - AVERAGE GRADES'!J8</f>
        <v>0</v>
      </c>
      <c r="J5" s="35">
        <f>'FOUND DATA - AVERAGE GRADES'!K8</f>
        <v>0</v>
      </c>
      <c r="K5" s="35">
        <f>'FOUND DATA - AVERAGE GRADES'!L8</f>
        <v>0.05</v>
      </c>
    </row>
    <row r="6">
      <c r="A6" s="36">
        <f>'FOUND DATA - AVERAGE GRADES'!B9</f>
        <v>16</v>
      </c>
      <c r="B6" s="35">
        <f>'FOUND DATA - AVERAGE GRADES'!C9</f>
        <v>0.5</v>
      </c>
      <c r="C6" s="36">
        <f>'FOUND DATA - AVERAGE GRADES'!D9</f>
        <v>6</v>
      </c>
      <c r="D6" s="35">
        <f>'FOUND DATA - AVERAGE GRADES'!E9</f>
        <v>0.2</v>
      </c>
      <c r="E6" s="36">
        <f>'FOUND DATA - AVERAGE GRADES'!F9</f>
        <v>0</v>
      </c>
      <c r="F6" s="35">
        <f>'FOUND DATA - AVERAGE GRADES'!G9</f>
        <v>0</v>
      </c>
      <c r="G6" s="36">
        <f>'FOUND DATA - AVERAGE GRADES'!H9</f>
        <v>3</v>
      </c>
      <c r="H6" s="35">
        <f>'FOUND DATA - AVERAGE GRADES'!I9</f>
        <v>0.3</v>
      </c>
      <c r="I6" s="36">
        <f>'FOUND DATA - AVERAGE GRADES'!J9</f>
        <v>0</v>
      </c>
      <c r="J6" s="35">
        <f>'FOUND DATA - AVERAGE GRADES'!K9</f>
        <v>0</v>
      </c>
      <c r="K6" s="35">
        <f>'FOUND DATA - AVERAGE GRADES'!L9</f>
        <v>0</v>
      </c>
    </row>
    <row r="7">
      <c r="A7" s="36">
        <f>'FOUND DATA - AVERAGE GRADES'!B10</f>
        <v>9</v>
      </c>
      <c r="B7" s="35">
        <f>'FOUND DATA - AVERAGE GRADES'!C10</f>
        <v>0.36</v>
      </c>
      <c r="C7" s="36">
        <f>'FOUND DATA - AVERAGE GRADES'!D10</f>
        <v>0</v>
      </c>
      <c r="D7" s="35">
        <f>'FOUND DATA - AVERAGE GRADES'!E10</f>
        <v>0</v>
      </c>
      <c r="E7" s="36">
        <f>'FOUND DATA - AVERAGE GRADES'!F10</f>
        <v>0</v>
      </c>
      <c r="F7" s="35">
        <f>'FOUND DATA - AVERAGE GRADES'!G10</f>
        <v>0</v>
      </c>
      <c r="G7" s="36">
        <f>'FOUND DATA - AVERAGE GRADES'!H10</f>
        <v>4</v>
      </c>
      <c r="H7" s="35">
        <f>'FOUND DATA - AVERAGE GRADES'!I10</f>
        <v>0.48</v>
      </c>
      <c r="I7" s="36">
        <f>'FOUND DATA - AVERAGE GRADES'!J10</f>
        <v>35</v>
      </c>
      <c r="J7" s="35">
        <f>'FOUND DATA - AVERAGE GRADES'!K10</f>
        <v>0.16</v>
      </c>
      <c r="K7" s="35">
        <f>'FOUND DATA - AVERAGE GRADES'!L10</f>
        <v>0</v>
      </c>
    </row>
    <row r="8">
      <c r="A8" s="36">
        <f>'FOUND DATA - AVERAGE GRADES'!B11</f>
        <v>11</v>
      </c>
      <c r="B8" s="35">
        <f>'FOUND DATA - AVERAGE GRADES'!C11</f>
        <v>0.25</v>
      </c>
      <c r="C8" s="36">
        <f>'FOUND DATA - AVERAGE GRADES'!D11</f>
        <v>5</v>
      </c>
      <c r="D8" s="35">
        <f>'FOUND DATA - AVERAGE GRADES'!E11</f>
        <v>0.15</v>
      </c>
      <c r="E8" s="36">
        <f>'FOUND DATA - AVERAGE GRADES'!F11</f>
        <v>1</v>
      </c>
      <c r="F8" s="35">
        <f>'FOUND DATA - AVERAGE GRADES'!G11</f>
        <v>0.2</v>
      </c>
      <c r="G8" s="36">
        <f>'FOUND DATA - AVERAGE GRADES'!H11</f>
        <v>3</v>
      </c>
      <c r="H8" s="35">
        <f>'FOUND DATA - AVERAGE GRADES'!I11</f>
        <v>0.3</v>
      </c>
      <c r="I8" s="36">
        <f>'FOUND DATA - AVERAGE GRADES'!J11</f>
        <v>0</v>
      </c>
      <c r="J8" s="35">
        <f>'FOUND DATA - AVERAGE GRADES'!K11</f>
        <v>0</v>
      </c>
      <c r="K8" s="35">
        <f>'FOUND DATA - AVERAGE GRADES'!L11</f>
        <v>0.1</v>
      </c>
    </row>
    <row r="9">
      <c r="A9" s="36">
        <f>'FOUND DATA - AVERAGE GRADES'!B12</f>
        <v>11</v>
      </c>
      <c r="B9" s="35">
        <f>'FOUND DATA - AVERAGE GRADES'!C12</f>
        <v>0.25</v>
      </c>
      <c r="C9" s="36">
        <f>'FOUND DATA - AVERAGE GRADES'!D12</f>
        <v>4</v>
      </c>
      <c r="D9" s="35">
        <f>'FOUND DATA - AVERAGE GRADES'!E12</f>
        <v>0.15</v>
      </c>
      <c r="E9" s="36">
        <f>'FOUND DATA - AVERAGE GRADES'!F12</f>
        <v>1</v>
      </c>
      <c r="F9" s="35">
        <f>'FOUND DATA - AVERAGE GRADES'!G12</f>
        <v>0.2</v>
      </c>
      <c r="G9" s="36">
        <f>'FOUND DATA - AVERAGE GRADES'!H12</f>
        <v>3</v>
      </c>
      <c r="H9" s="35">
        <f>'FOUND DATA - AVERAGE GRADES'!I12</f>
        <v>0.3</v>
      </c>
      <c r="I9" s="36">
        <f>'FOUND DATA - AVERAGE GRADES'!J12</f>
        <v>24</v>
      </c>
      <c r="J9" s="35">
        <f>'FOUND DATA - AVERAGE GRADES'!K12</f>
        <v>0.1</v>
      </c>
      <c r="K9" s="35">
        <f>'FOUND DATA - AVERAGE GRADES'!L12</f>
        <v>0</v>
      </c>
    </row>
    <row r="10">
      <c r="A10" s="36">
        <f>'FOUND DATA - AVERAGE GRADES'!B13</f>
        <v>10</v>
      </c>
      <c r="B10" s="35">
        <f>'FOUND DATA - AVERAGE GRADES'!C13</f>
        <v>0.25</v>
      </c>
      <c r="C10" s="36">
        <f>'FOUND DATA - AVERAGE GRADES'!D13</f>
        <v>9</v>
      </c>
      <c r="D10" s="35">
        <f>'FOUND DATA - AVERAGE GRADES'!E13</f>
        <v>0.15</v>
      </c>
      <c r="E10" s="36">
        <f>'FOUND DATA - AVERAGE GRADES'!F13</f>
        <v>1</v>
      </c>
      <c r="F10" s="35">
        <f>'FOUND DATA - AVERAGE GRADES'!G13</f>
        <v>0.2</v>
      </c>
      <c r="G10" s="36">
        <f>'FOUND DATA - AVERAGE GRADES'!H13</f>
        <v>3</v>
      </c>
      <c r="H10" s="35">
        <f>'FOUND DATA - AVERAGE GRADES'!I13</f>
        <v>0.3</v>
      </c>
      <c r="I10" s="36">
        <f>'FOUND DATA - AVERAGE GRADES'!J13</f>
        <v>25</v>
      </c>
      <c r="J10" s="35">
        <f>'FOUND DATA - AVERAGE GRADES'!K13</f>
        <v>0.1</v>
      </c>
      <c r="K10" s="35">
        <f>'FOUND DATA - AVERAGE GRADES'!L13</f>
        <v>0</v>
      </c>
    </row>
    <row r="11">
      <c r="A11" s="36">
        <f>'FOUND DATA - AVERAGE GRADES'!B14</f>
        <v>10</v>
      </c>
      <c r="B11" s="35">
        <f>'FOUND DATA - AVERAGE GRADES'!C14</f>
        <v>0.25</v>
      </c>
      <c r="C11" s="36">
        <f>'FOUND DATA - AVERAGE GRADES'!D14</f>
        <v>6</v>
      </c>
      <c r="D11" s="35">
        <f>'FOUND DATA - AVERAGE GRADES'!E14</f>
        <v>0.15</v>
      </c>
      <c r="E11" s="36">
        <f>'FOUND DATA - AVERAGE GRADES'!F14</f>
        <v>1</v>
      </c>
      <c r="F11" s="35">
        <f>'FOUND DATA - AVERAGE GRADES'!G14</f>
        <v>0.2</v>
      </c>
      <c r="G11" s="36">
        <f>'FOUND DATA - AVERAGE GRADES'!H14</f>
        <v>3</v>
      </c>
      <c r="H11" s="35">
        <f>'FOUND DATA - AVERAGE GRADES'!I14</f>
        <v>0.3</v>
      </c>
      <c r="I11" s="36">
        <f>'FOUND DATA - AVERAGE GRADES'!J14</f>
        <v>24</v>
      </c>
      <c r="J11" s="35">
        <f>'FOUND DATA - AVERAGE GRADES'!K14</f>
        <v>0.1</v>
      </c>
      <c r="K11" s="35">
        <f>'FOUND DATA - AVERAGE GRADES'!L14</f>
        <v>0</v>
      </c>
    </row>
    <row r="12">
      <c r="A12" s="36">
        <f>'FOUND DATA - AVERAGE GRADES'!B15</f>
        <v>10</v>
      </c>
      <c r="B12" s="35">
        <f>'FOUND DATA - AVERAGE GRADES'!C15</f>
        <v>0.25</v>
      </c>
      <c r="C12" s="36">
        <f>'FOUND DATA - AVERAGE GRADES'!D15</f>
        <v>1</v>
      </c>
      <c r="D12" s="35">
        <f>'FOUND DATA - AVERAGE GRADES'!E15</f>
        <v>0.1</v>
      </c>
      <c r="E12" s="36">
        <f>'FOUND DATA - AVERAGE GRADES'!F15</f>
        <v>1</v>
      </c>
      <c r="F12" s="35">
        <f>'FOUND DATA - AVERAGE GRADES'!G15</f>
        <v>0.2</v>
      </c>
      <c r="G12" s="36">
        <f>'FOUND DATA - AVERAGE GRADES'!H15</f>
        <v>3</v>
      </c>
      <c r="H12" s="35">
        <f>'FOUND DATA - AVERAGE GRADES'!I15</f>
        <v>0.3</v>
      </c>
      <c r="I12" s="36">
        <f>'FOUND DATA - AVERAGE GRADES'!J15</f>
        <v>24</v>
      </c>
      <c r="J12" s="35">
        <f>'FOUND DATA - AVERAGE GRADES'!K15</f>
        <v>0.15</v>
      </c>
      <c r="K12" s="35">
        <f>'FOUND DATA - AVERAGE GRADES'!L15</f>
        <v>0</v>
      </c>
    </row>
    <row r="13">
      <c r="A13" s="36">
        <f>'FOUND DATA - AVERAGE GRADES'!B16</f>
        <v>10</v>
      </c>
      <c r="B13" s="35">
        <f>'FOUND DATA - AVERAGE GRADES'!C16</f>
        <v>0.25</v>
      </c>
      <c r="C13" s="36">
        <f>'FOUND DATA - AVERAGE GRADES'!D16</f>
        <v>1</v>
      </c>
      <c r="D13" s="35">
        <f>'FOUND DATA - AVERAGE GRADES'!E16</f>
        <v>0.1</v>
      </c>
      <c r="E13" s="36">
        <f>'FOUND DATA - AVERAGE GRADES'!F16</f>
        <v>1</v>
      </c>
      <c r="F13" s="35">
        <f>'FOUND DATA - AVERAGE GRADES'!G16</f>
        <v>0.2</v>
      </c>
      <c r="G13" s="36">
        <f>'FOUND DATA - AVERAGE GRADES'!H16</f>
        <v>3</v>
      </c>
      <c r="H13" s="35">
        <f>'FOUND DATA - AVERAGE GRADES'!I16</f>
        <v>0.3</v>
      </c>
      <c r="I13" s="36">
        <f>'FOUND DATA - AVERAGE GRADES'!J16</f>
        <v>28</v>
      </c>
      <c r="J13" s="35">
        <f>'FOUND DATA - AVERAGE GRADES'!K16</f>
        <v>0.15</v>
      </c>
      <c r="K13" s="35">
        <f>'FOUND DATA - AVERAGE GRADES'!L16</f>
        <v>0</v>
      </c>
    </row>
    <row r="14">
      <c r="A14" s="36">
        <f>'FOUND DATA - AVERAGE GRADES'!B17</f>
        <v>12</v>
      </c>
      <c r="B14" s="35">
        <f>'FOUND DATA - AVERAGE GRADES'!C17</f>
        <v>0.45</v>
      </c>
      <c r="C14" s="36">
        <f>'FOUND DATA - AVERAGE GRADES'!D17</f>
        <v>11</v>
      </c>
      <c r="D14" s="35">
        <f>'FOUND DATA - AVERAGE GRADES'!E17</f>
        <v>0.5</v>
      </c>
      <c r="E14" s="36">
        <f>'FOUND DATA - AVERAGE GRADES'!F17</f>
        <v>0</v>
      </c>
      <c r="F14" s="35">
        <f>'FOUND DATA - AVERAGE GRADES'!G17</f>
        <v>0</v>
      </c>
      <c r="G14" s="36">
        <f>'FOUND DATA - AVERAGE GRADES'!H17</f>
        <v>0</v>
      </c>
      <c r="H14" s="35">
        <f>'FOUND DATA - AVERAGE GRADES'!I17</f>
        <v>0</v>
      </c>
      <c r="I14" s="36">
        <f>'FOUND DATA - AVERAGE GRADES'!J17</f>
        <v>11</v>
      </c>
      <c r="J14" s="35">
        <f>'FOUND DATA - AVERAGE GRADES'!K17</f>
        <v>0.05</v>
      </c>
      <c r="K14" s="35">
        <f>'FOUND DATA - AVERAGE GRADES'!L17</f>
        <v>0</v>
      </c>
    </row>
    <row r="15">
      <c r="A15" s="36">
        <f>'FOUND DATA - AVERAGE GRADES'!B18</f>
        <v>8</v>
      </c>
      <c r="B15" s="35">
        <f>'FOUND DATA - AVERAGE GRADES'!C18</f>
        <v>0.15</v>
      </c>
      <c r="C15" s="36">
        <f>'FOUND DATA - AVERAGE GRADES'!D18</f>
        <v>1</v>
      </c>
      <c r="D15" s="35">
        <f>'FOUND DATA - AVERAGE GRADES'!E18</f>
        <v>0.1</v>
      </c>
      <c r="E15" s="36">
        <f>'FOUND DATA - AVERAGE GRADES'!F18</f>
        <v>1</v>
      </c>
      <c r="F15" s="35">
        <f>'FOUND DATA - AVERAGE GRADES'!G18</f>
        <v>0.22</v>
      </c>
      <c r="G15" s="36">
        <f>'FOUND DATA - AVERAGE GRADES'!H18</f>
        <v>3</v>
      </c>
      <c r="H15" s="35">
        <f>'FOUND DATA - AVERAGE GRADES'!I18</f>
        <v>0.42</v>
      </c>
      <c r="I15" s="36">
        <f>'FOUND DATA - AVERAGE GRADES'!J18</f>
        <v>0</v>
      </c>
      <c r="J15" s="35">
        <f>'FOUND DATA - AVERAGE GRADES'!K18</f>
        <v>0</v>
      </c>
      <c r="K15" s="35">
        <f>'FOUND DATA - AVERAGE GRADES'!L18</f>
        <v>0.11</v>
      </c>
    </row>
    <row r="16">
      <c r="A16" s="36">
        <f>'FOUND DATA - AVERAGE GRADES'!B19</f>
        <v>4</v>
      </c>
      <c r="B16" s="35">
        <f>'FOUND DATA - AVERAGE GRADES'!C19</f>
        <v>0.2</v>
      </c>
      <c r="C16" s="36">
        <f>'FOUND DATA - AVERAGE GRADES'!D19</f>
        <v>0</v>
      </c>
      <c r="D16" s="35">
        <f>'FOUND DATA - AVERAGE GRADES'!E19</f>
        <v>0</v>
      </c>
      <c r="E16" s="36">
        <f>'FOUND DATA - AVERAGE GRADES'!F19</f>
        <v>0</v>
      </c>
      <c r="F16" s="35">
        <f>'FOUND DATA - AVERAGE GRADES'!G19</f>
        <v>0</v>
      </c>
      <c r="G16" s="36">
        <f>'FOUND DATA - AVERAGE GRADES'!H19</f>
        <v>4</v>
      </c>
      <c r="H16" s="35">
        <f>'FOUND DATA - AVERAGE GRADES'!I19</f>
        <v>0.8</v>
      </c>
      <c r="I16" s="36">
        <f>'FOUND DATA - AVERAGE GRADES'!J19</f>
        <v>0</v>
      </c>
      <c r="J16" s="35">
        <f>'FOUND DATA - AVERAGE GRADES'!K19</f>
        <v>0</v>
      </c>
      <c r="K16" s="35">
        <f>'FOUND DATA - AVERAGE GRADES'!L19</f>
        <v>0</v>
      </c>
    </row>
    <row r="17">
      <c r="A17" s="36">
        <f>'FOUND DATA - AVERAGE GRADES'!B20</f>
        <v>6</v>
      </c>
      <c r="B17" s="35">
        <f>'FOUND DATA - AVERAGE GRADES'!C20</f>
        <v>0.15</v>
      </c>
      <c r="C17" s="36">
        <f>'FOUND DATA - AVERAGE GRADES'!D20</f>
        <v>0</v>
      </c>
      <c r="D17" s="35">
        <f>'FOUND DATA - AVERAGE GRADES'!E20</f>
        <v>0</v>
      </c>
      <c r="E17" s="36">
        <f>'FOUND DATA - AVERAGE GRADES'!F20</f>
        <v>1</v>
      </c>
      <c r="F17" s="35">
        <f>'FOUND DATA - AVERAGE GRADES'!G20</f>
        <v>0.25</v>
      </c>
      <c r="G17" s="36">
        <f>'FOUND DATA - AVERAGE GRADES'!H20</f>
        <v>2</v>
      </c>
      <c r="H17" s="35">
        <f>'FOUND DATA - AVERAGE GRADES'!I20</f>
        <v>0.4</v>
      </c>
      <c r="I17" s="36">
        <f>'FOUND DATA - AVERAGE GRADES'!J20</f>
        <v>3</v>
      </c>
      <c r="J17" s="35">
        <f>'FOUND DATA - AVERAGE GRADES'!K20</f>
        <v>0.15</v>
      </c>
      <c r="K17" s="35">
        <f>'FOUND DATA - AVERAGE GRADES'!L20</f>
        <v>0.05</v>
      </c>
    </row>
    <row r="18">
      <c r="A18" s="36">
        <f>'FOUND DATA - AVERAGE GRADES'!B21</f>
        <v>6</v>
      </c>
      <c r="B18" s="35">
        <f>'FOUND DATA - AVERAGE GRADES'!C21</f>
        <v>0.15</v>
      </c>
      <c r="C18" s="36">
        <f>'FOUND DATA - AVERAGE GRADES'!D21</f>
        <v>0</v>
      </c>
      <c r="D18" s="35">
        <f>'FOUND DATA - AVERAGE GRADES'!E21</f>
        <v>0</v>
      </c>
      <c r="E18" s="36">
        <f>'FOUND DATA - AVERAGE GRADES'!F21</f>
        <v>1</v>
      </c>
      <c r="F18" s="35">
        <f>'FOUND DATA - AVERAGE GRADES'!G21</f>
        <v>0.25</v>
      </c>
      <c r="G18" s="36">
        <f>'FOUND DATA - AVERAGE GRADES'!H21</f>
        <v>2</v>
      </c>
      <c r="H18" s="35">
        <f>'FOUND DATA - AVERAGE GRADES'!I21</f>
        <v>0.4</v>
      </c>
      <c r="I18" s="36">
        <f>'FOUND DATA - AVERAGE GRADES'!J21</f>
        <v>3</v>
      </c>
      <c r="J18" s="35">
        <f>'FOUND DATA - AVERAGE GRADES'!K21</f>
        <v>0.15</v>
      </c>
      <c r="K18" s="35">
        <f>'FOUND DATA - AVERAGE GRADES'!L21</f>
        <v>0.05</v>
      </c>
    </row>
    <row r="19">
      <c r="A19" s="36">
        <f>'FOUND DATA - AVERAGE GRADES'!B22</f>
        <v>0</v>
      </c>
      <c r="B19" s="36">
        <f>'FOUND DATA - AVERAGE GRADES'!C22</f>
        <v>0</v>
      </c>
      <c r="C19" s="36">
        <f>'FOUND DATA - AVERAGE GRADES'!D22</f>
        <v>11</v>
      </c>
      <c r="D19" s="36">
        <f>'FOUND DATA - AVERAGE GRADES'!E22</f>
        <v>0.95</v>
      </c>
      <c r="E19" s="36">
        <f>'FOUND DATA - AVERAGE GRADES'!F22</f>
        <v>0</v>
      </c>
      <c r="F19" s="36">
        <f>'FOUND DATA - AVERAGE GRADES'!G22</f>
        <v>0</v>
      </c>
      <c r="G19" s="36">
        <f>'FOUND DATA - AVERAGE GRADES'!H22</f>
        <v>0</v>
      </c>
      <c r="H19" s="36">
        <f>'FOUND DATA - AVERAGE GRADES'!I22</f>
        <v>0</v>
      </c>
      <c r="I19" s="36">
        <f>'FOUND DATA - AVERAGE GRADES'!J22</f>
        <v>0</v>
      </c>
      <c r="J19" s="36">
        <f>'FOUND DATA - AVERAGE GRADES'!K22</f>
        <v>0</v>
      </c>
      <c r="K19" s="35">
        <f>'FOUND DATA - AVERAGE GRADES'!L22</f>
        <v>0.05</v>
      </c>
    </row>
    <row r="20">
      <c r="A20" s="36">
        <f>'FOUND DATA - AVERAGE GRADES'!B23</f>
        <v>11</v>
      </c>
      <c r="B20" s="36">
        <f>'FOUND DATA - AVERAGE GRADES'!C23</f>
        <v>0.25</v>
      </c>
      <c r="C20" s="36">
        <f>'FOUND DATA - AVERAGE GRADES'!D23</f>
        <v>1</v>
      </c>
      <c r="D20" s="36">
        <f>'FOUND DATA - AVERAGE GRADES'!E23</f>
        <v>0.2</v>
      </c>
      <c r="E20" s="36">
        <f>'FOUND DATA - AVERAGE GRADES'!F23</f>
        <v>0</v>
      </c>
      <c r="F20" s="36">
        <f>'FOUND DATA - AVERAGE GRADES'!G23</f>
        <v>0</v>
      </c>
      <c r="G20" s="36">
        <f>'FOUND DATA - AVERAGE GRADES'!H23</f>
        <v>2</v>
      </c>
      <c r="H20" s="36">
        <f>'FOUND DATA - AVERAGE GRADES'!I23</f>
        <v>0.5</v>
      </c>
      <c r="I20" s="36">
        <f>'FOUND DATA - AVERAGE GRADES'!J23</f>
        <v>0</v>
      </c>
      <c r="J20" s="36">
        <f>'FOUND DATA - AVERAGE GRADES'!K23</f>
        <v>0</v>
      </c>
      <c r="K20" s="35">
        <f>'FOUND DATA - AVERAGE GRADES'!L23</f>
        <v>0.05</v>
      </c>
    </row>
    <row r="21">
      <c r="A21" s="36">
        <f>'FOUND DATA - AVERAGE GRADES'!B24</f>
        <v>0</v>
      </c>
      <c r="B21" s="36">
        <f>'FOUND DATA - AVERAGE GRADES'!C24</f>
        <v>0</v>
      </c>
      <c r="C21" s="36">
        <f>'FOUND DATA - AVERAGE GRADES'!D24</f>
        <v>3</v>
      </c>
      <c r="D21" s="36">
        <f>'FOUND DATA - AVERAGE GRADES'!E24</f>
        <v>0.84</v>
      </c>
      <c r="E21" s="36">
        <f>'FOUND DATA - AVERAGE GRADES'!F24</f>
        <v>0</v>
      </c>
      <c r="F21" s="36">
        <f>'FOUND DATA - AVERAGE GRADES'!G24</f>
        <v>0</v>
      </c>
      <c r="G21" s="36">
        <f>'FOUND DATA - AVERAGE GRADES'!H24</f>
        <v>0</v>
      </c>
      <c r="H21" s="36">
        <f>'FOUND DATA - AVERAGE GRADES'!I24</f>
        <v>0</v>
      </c>
      <c r="I21" s="36">
        <f>'FOUND DATA - AVERAGE GRADES'!J24</f>
        <v>0</v>
      </c>
      <c r="J21" s="36">
        <f>'FOUND DATA - AVERAGE GRADES'!K24</f>
        <v>0</v>
      </c>
      <c r="K21" s="35">
        <f>'FOUND DATA - AVERAGE GRADES'!L24</f>
        <v>0.16</v>
      </c>
    </row>
    <row r="22">
      <c r="A22" s="36">
        <f>'FOUND DATA - AVERAGE GRADES'!B25</f>
        <v>14</v>
      </c>
      <c r="B22" s="36">
        <f>'FOUND DATA - AVERAGE GRADES'!C25</f>
        <v>0.1</v>
      </c>
      <c r="C22" s="36">
        <f>'FOUND DATA - AVERAGE GRADES'!D25</f>
        <v>0</v>
      </c>
      <c r="D22" s="36">
        <f>'FOUND DATA - AVERAGE GRADES'!E25</f>
        <v>0</v>
      </c>
      <c r="E22" s="36">
        <f>'FOUND DATA - AVERAGE GRADES'!F25</f>
        <v>1</v>
      </c>
      <c r="F22" s="36">
        <f>'FOUND DATA - AVERAGE GRADES'!G25</f>
        <v>0.3</v>
      </c>
      <c r="G22" s="36">
        <f>'FOUND DATA - AVERAGE GRADES'!H25</f>
        <v>3</v>
      </c>
      <c r="H22" s="36">
        <f>'FOUND DATA - AVERAGE GRADES'!I25</f>
        <v>0.5</v>
      </c>
      <c r="I22" s="36">
        <f>'FOUND DATA - AVERAGE GRADES'!J25</f>
        <v>14</v>
      </c>
      <c r="J22" s="36">
        <f>'FOUND DATA - AVERAGE GRADES'!K25</f>
        <v>0.1</v>
      </c>
      <c r="K22" s="35">
        <f>'FOUND DATA - AVERAGE GRADES'!L25</f>
        <v>0</v>
      </c>
    </row>
    <row r="23">
      <c r="A23" s="36">
        <f>'FOUND DATA - AVERAGE GRADES'!B26</f>
        <v>10</v>
      </c>
      <c r="B23" s="36">
        <f>'FOUND DATA - AVERAGE GRADES'!C26</f>
        <v>0.15</v>
      </c>
      <c r="C23" s="36">
        <f>'FOUND DATA - AVERAGE GRADES'!D26</f>
        <v>0</v>
      </c>
      <c r="D23" s="36">
        <f>'FOUND DATA - AVERAGE GRADES'!E26</f>
        <v>0</v>
      </c>
      <c r="E23" s="36">
        <f>'FOUND DATA - AVERAGE GRADES'!F26</f>
        <v>1</v>
      </c>
      <c r="F23" s="36">
        <f>'FOUND DATA - AVERAGE GRADES'!G26</f>
        <v>0.3</v>
      </c>
      <c r="G23" s="36">
        <f>'FOUND DATA - AVERAGE GRADES'!H26</f>
        <v>2</v>
      </c>
      <c r="H23" s="36">
        <f>'FOUND DATA - AVERAGE GRADES'!I26</f>
        <v>0.4</v>
      </c>
      <c r="I23" s="36">
        <f>'FOUND DATA - AVERAGE GRADES'!J26</f>
        <v>0</v>
      </c>
      <c r="J23" s="36">
        <f>'FOUND DATA - AVERAGE GRADES'!K26</f>
        <v>0</v>
      </c>
      <c r="K23" s="35">
        <f>'FOUND DATA - AVERAGE GRADES'!L26</f>
        <v>0.15</v>
      </c>
    </row>
    <row r="24">
      <c r="A24" s="36">
        <f>'FOUND DATA - AVERAGE GRADES'!B27</f>
        <v>10</v>
      </c>
      <c r="B24" s="36">
        <f>'FOUND DATA - AVERAGE GRADES'!C27</f>
        <v>0.15</v>
      </c>
      <c r="C24" s="36">
        <f>'FOUND DATA - AVERAGE GRADES'!D27</f>
        <v>0</v>
      </c>
      <c r="D24" s="36">
        <f>'FOUND DATA - AVERAGE GRADES'!E27</f>
        <v>0</v>
      </c>
      <c r="E24" s="36">
        <f>'FOUND DATA - AVERAGE GRADES'!F27</f>
        <v>1</v>
      </c>
      <c r="F24" s="36">
        <f>'FOUND DATA - AVERAGE GRADES'!G27</f>
        <v>0.3</v>
      </c>
      <c r="G24" s="36">
        <f>'FOUND DATA - AVERAGE GRADES'!H27</f>
        <v>2</v>
      </c>
      <c r="H24" s="36">
        <f>'FOUND DATA - AVERAGE GRADES'!I27</f>
        <v>0.4</v>
      </c>
      <c r="I24" s="36">
        <f>'FOUND DATA - AVERAGE GRADES'!J27</f>
        <v>0</v>
      </c>
      <c r="J24" s="36">
        <f>'FOUND DATA - AVERAGE GRADES'!K27</f>
        <v>0</v>
      </c>
      <c r="K24" s="35">
        <f>'FOUND DATA - AVERAGE GRADES'!L27</f>
        <v>0.15</v>
      </c>
    </row>
    <row r="25">
      <c r="A25" s="36">
        <f>'FOUND DATA - AVERAGE GRADES'!B28</f>
        <v>11</v>
      </c>
      <c r="B25" s="36">
        <f>'FOUND DATA - AVERAGE GRADES'!C28</f>
        <v>0.15</v>
      </c>
      <c r="C25" s="36">
        <f>'FOUND DATA - AVERAGE GRADES'!D28</f>
        <v>0</v>
      </c>
      <c r="D25" s="36">
        <f>'FOUND DATA - AVERAGE GRADES'!E28</f>
        <v>0</v>
      </c>
      <c r="E25" s="36">
        <f>'FOUND DATA - AVERAGE GRADES'!F28</f>
        <v>1</v>
      </c>
      <c r="F25" s="36">
        <f>'FOUND DATA - AVERAGE GRADES'!G28</f>
        <v>0.2125</v>
      </c>
      <c r="G25" s="36">
        <f>'FOUND DATA - AVERAGE GRADES'!H28</f>
        <v>3</v>
      </c>
      <c r="H25" s="36">
        <f>'FOUND DATA - AVERAGE GRADES'!I28</f>
        <v>0.6375</v>
      </c>
      <c r="I25" s="36">
        <f>'FOUND DATA - AVERAGE GRADES'!J28</f>
        <v>0</v>
      </c>
      <c r="J25" s="36">
        <f>'FOUND DATA - AVERAGE GRADES'!K28</f>
        <v>0</v>
      </c>
      <c r="K25" s="35">
        <f>'FOUND DATA - AVERAGE GRADES'!L28</f>
        <v>0</v>
      </c>
    </row>
    <row r="26">
      <c r="A26" s="36">
        <f>'FOUND DATA - AVERAGE GRADES'!B29</f>
        <v>11</v>
      </c>
      <c r="B26" s="36">
        <f>'FOUND DATA - AVERAGE GRADES'!C29</f>
        <v>0.5</v>
      </c>
      <c r="C26" s="36">
        <f>'FOUND DATA - AVERAGE GRADES'!D29</f>
        <v>0</v>
      </c>
      <c r="D26" s="36">
        <f>'FOUND DATA - AVERAGE GRADES'!E29</f>
        <v>0</v>
      </c>
      <c r="E26" s="36">
        <f>'FOUND DATA - AVERAGE GRADES'!F29</f>
        <v>0</v>
      </c>
      <c r="F26" s="36">
        <f>'FOUND DATA - AVERAGE GRADES'!G29</f>
        <v>0</v>
      </c>
      <c r="G26" s="36">
        <f>'FOUND DATA - AVERAGE GRADES'!H29</f>
        <v>3</v>
      </c>
      <c r="H26" s="36">
        <f>'FOUND DATA - AVERAGE GRADES'!I29</f>
        <v>0.5</v>
      </c>
      <c r="I26" s="36">
        <f>'FOUND DATA - AVERAGE GRADES'!J29</f>
        <v>0</v>
      </c>
      <c r="J26" s="36">
        <f>'FOUND DATA - AVERAGE GRADES'!K29</f>
        <v>0</v>
      </c>
      <c r="K26" s="35">
        <f>'FOUND DATA - AVERAGE GRADES'!L29</f>
        <v>0</v>
      </c>
    </row>
    <row r="27">
      <c r="A27" s="36">
        <f>'FOUND DATA - AVERAGE GRADES'!B30</f>
        <v>14</v>
      </c>
      <c r="B27" s="36">
        <f>'FOUND DATA - AVERAGE GRADES'!C30</f>
        <v>0.1</v>
      </c>
      <c r="C27" s="36">
        <f>'FOUND DATA - AVERAGE GRADES'!D30</f>
        <v>2</v>
      </c>
      <c r="D27" s="36">
        <f>'FOUND DATA - AVERAGE GRADES'!E30</f>
        <v>0.15</v>
      </c>
      <c r="E27" s="36">
        <f>'FOUND DATA - AVERAGE GRADES'!F30</f>
        <v>1</v>
      </c>
      <c r="F27" s="36">
        <f>'FOUND DATA - AVERAGE GRADES'!G30</f>
        <v>0.35</v>
      </c>
      <c r="G27" s="36">
        <f>'FOUND DATA - AVERAGE GRADES'!H30</f>
        <v>1</v>
      </c>
      <c r="H27" s="36">
        <f>'FOUND DATA - AVERAGE GRADES'!I30</f>
        <v>0.2</v>
      </c>
      <c r="I27" s="36">
        <f>'FOUND DATA - AVERAGE GRADES'!J30</f>
        <v>4</v>
      </c>
      <c r="J27" s="36">
        <f>'FOUND DATA - AVERAGE GRADES'!K30</f>
        <v>0.15</v>
      </c>
      <c r="K27" s="35">
        <f>'FOUND DATA - AVERAGE GRADES'!L30</f>
        <v>0.05</v>
      </c>
    </row>
    <row r="28">
      <c r="A28" s="36">
        <f>'FOUND DATA - AVERAGE GRADES'!B31</f>
        <v>13</v>
      </c>
      <c r="B28" s="35">
        <f>'FOUND DATA - AVERAGE GRADES'!C31</f>
        <v>0.1</v>
      </c>
      <c r="C28" s="36">
        <f>'FOUND DATA - AVERAGE GRADES'!D31</f>
        <v>0</v>
      </c>
      <c r="D28" s="35">
        <f>'FOUND DATA - AVERAGE GRADES'!E31</f>
        <v>0</v>
      </c>
      <c r="E28" s="36">
        <f>'FOUND DATA - AVERAGE GRADES'!F31</f>
        <v>1</v>
      </c>
      <c r="F28" s="35">
        <f>'FOUND DATA - AVERAGE GRADES'!G31</f>
        <v>0.25</v>
      </c>
      <c r="G28" s="36">
        <f>'FOUND DATA - AVERAGE GRADES'!H31</f>
        <v>2</v>
      </c>
      <c r="H28" s="35">
        <f>'FOUND DATA - AVERAGE GRADES'!I31</f>
        <v>0.4</v>
      </c>
      <c r="I28" s="36">
        <f>'FOUND DATA - AVERAGE GRADES'!J31</f>
        <v>15</v>
      </c>
      <c r="J28" s="35">
        <f>'FOUND DATA - AVERAGE GRADES'!K31</f>
        <v>0.15</v>
      </c>
      <c r="K28" s="35">
        <f>'FOUND DATA - AVERAGE GRADES'!L31</f>
        <v>0.1</v>
      </c>
    </row>
    <row r="29">
      <c r="A29" s="36">
        <f>'FOUND DATA - AVERAGE GRADES'!B32</f>
        <v>0</v>
      </c>
      <c r="B29" s="35">
        <f>'FOUND DATA - AVERAGE GRADES'!C32</f>
        <v>0</v>
      </c>
      <c r="C29" s="36">
        <f>'FOUND DATA - AVERAGE GRADES'!D32</f>
        <v>0</v>
      </c>
      <c r="D29" s="35">
        <f>'FOUND DATA - AVERAGE GRADES'!E32</f>
        <v>0</v>
      </c>
      <c r="E29" s="36">
        <f>'FOUND DATA - AVERAGE GRADES'!F32</f>
        <v>1</v>
      </c>
      <c r="F29" s="35">
        <f>'FOUND DATA - AVERAGE GRADES'!G32</f>
        <v>0.2</v>
      </c>
      <c r="G29" s="36">
        <f>'FOUND DATA - AVERAGE GRADES'!H32</f>
        <v>3</v>
      </c>
      <c r="H29" s="35">
        <f>'FOUND DATA - AVERAGE GRADES'!I32</f>
        <v>0.55</v>
      </c>
      <c r="I29" s="36">
        <f>'FOUND DATA - AVERAGE GRADES'!J32</f>
        <v>15</v>
      </c>
      <c r="J29" s="35">
        <f>'FOUND DATA - AVERAGE GRADES'!K32</f>
        <v>0.15</v>
      </c>
      <c r="K29" s="35">
        <f>'FOUND DATA - AVERAGE GRADES'!L32</f>
        <v>0.1</v>
      </c>
    </row>
    <row r="30">
      <c r="A30" s="36">
        <f>'FOUND DATA - AVERAGE GRADES'!B33</f>
        <v>12</v>
      </c>
      <c r="B30" s="35">
        <f>'FOUND DATA - AVERAGE GRADES'!C33</f>
        <v>0.05</v>
      </c>
      <c r="C30" s="36">
        <f>'FOUND DATA - AVERAGE GRADES'!D33</f>
        <v>0</v>
      </c>
      <c r="D30" s="35">
        <f>'FOUND DATA - AVERAGE GRADES'!E33</f>
        <v>0</v>
      </c>
      <c r="E30" s="36">
        <f>'FOUND DATA - AVERAGE GRADES'!F33</f>
        <v>0</v>
      </c>
      <c r="F30" s="35">
        <f>'FOUND DATA - AVERAGE GRADES'!G33</f>
        <v>0</v>
      </c>
      <c r="G30" s="36">
        <f>'FOUND DATA - AVERAGE GRADES'!H33</f>
        <v>3</v>
      </c>
      <c r="H30" s="35">
        <f>'FOUND DATA - AVERAGE GRADES'!I33</f>
        <v>0.8</v>
      </c>
      <c r="I30" s="36">
        <f>'FOUND DATA - AVERAGE GRADES'!J33</f>
        <v>15</v>
      </c>
      <c r="J30" s="35">
        <f>'FOUND DATA - AVERAGE GRADES'!K33</f>
        <v>0.15</v>
      </c>
      <c r="K30" s="35">
        <f>'FOUND DATA - AVERAGE GRADES'!L33</f>
        <v>0</v>
      </c>
    </row>
    <row r="31">
      <c r="A31" s="36">
        <f>'FOUND DATA - AVERAGE GRADES'!B34</f>
        <v>10</v>
      </c>
      <c r="B31" s="35">
        <f>'FOUND DATA - AVERAGE GRADES'!C34</f>
        <v>0.19</v>
      </c>
      <c r="C31" s="36">
        <f>'FOUND DATA - AVERAGE GRADES'!D34</f>
        <v>0</v>
      </c>
      <c r="D31" s="35">
        <f>'FOUND DATA - AVERAGE GRADES'!E34</f>
        <v>0</v>
      </c>
      <c r="E31" s="36">
        <f>'FOUND DATA - AVERAGE GRADES'!F34</f>
        <v>0</v>
      </c>
      <c r="F31" s="35">
        <f>'FOUND DATA - AVERAGE GRADES'!G34</f>
        <v>0</v>
      </c>
      <c r="G31" s="36">
        <f>'FOUND DATA - AVERAGE GRADES'!H34</f>
        <v>3</v>
      </c>
      <c r="H31" s="35">
        <f>'FOUND DATA - AVERAGE GRADES'!I34</f>
        <v>0.6</v>
      </c>
      <c r="I31" s="36">
        <f>'FOUND DATA - AVERAGE GRADES'!J34</f>
        <v>7</v>
      </c>
      <c r="J31" s="35">
        <f>'FOUND DATA - AVERAGE GRADES'!K34</f>
        <v>0.21</v>
      </c>
      <c r="K31" s="35">
        <f>'FOUND DATA - AVERAGE GRADES'!L34</f>
        <v>0</v>
      </c>
    </row>
    <row r="32">
      <c r="A32" s="36">
        <f>'FOUND DATA - AVERAGE GRADES'!B35</f>
        <v>8</v>
      </c>
      <c r="B32" s="35">
        <f>'FOUND DATA - AVERAGE GRADES'!C35</f>
        <v>0.08</v>
      </c>
      <c r="C32" s="36">
        <f>'FOUND DATA - AVERAGE GRADES'!D35</f>
        <v>1</v>
      </c>
      <c r="D32" s="35">
        <f>'FOUND DATA - AVERAGE GRADES'!E35</f>
        <v>0.15</v>
      </c>
      <c r="E32" s="36">
        <f>'FOUND DATA - AVERAGE GRADES'!F35</f>
        <v>1</v>
      </c>
      <c r="F32" s="35">
        <f>'FOUND DATA - AVERAGE GRADES'!G35</f>
        <v>0.3</v>
      </c>
      <c r="G32" s="36">
        <f>'FOUND DATA - AVERAGE GRADES'!H35</f>
        <v>2</v>
      </c>
      <c r="H32" s="35">
        <f>'FOUND DATA - AVERAGE GRADES'!I35</f>
        <v>0.44</v>
      </c>
      <c r="I32" s="36">
        <f>'FOUND DATA - AVERAGE GRADES'!J35</f>
        <v>0</v>
      </c>
      <c r="J32" s="35">
        <f>'FOUND DATA - AVERAGE GRADES'!K35</f>
        <v>0</v>
      </c>
      <c r="K32" s="35">
        <f>'FOUND DATA - AVERAGE GRADES'!L35</f>
        <v>0.03</v>
      </c>
    </row>
    <row r="33">
      <c r="A33" s="36">
        <f>'FOUND DATA - AVERAGE GRADES'!B36</f>
        <v>13</v>
      </c>
      <c r="B33" s="35">
        <f>'FOUND DATA - AVERAGE GRADES'!C36</f>
        <v>0.27</v>
      </c>
      <c r="C33" s="36">
        <f>'FOUND DATA - AVERAGE GRADES'!D36</f>
        <v>0</v>
      </c>
      <c r="D33" s="35">
        <f>'FOUND DATA - AVERAGE GRADES'!E36</f>
        <v>0</v>
      </c>
      <c r="E33" s="36">
        <f>'FOUND DATA - AVERAGE GRADES'!F36</f>
        <v>1</v>
      </c>
      <c r="F33" s="35">
        <f>'FOUND DATA - AVERAGE GRADES'!G36</f>
        <v>0.3</v>
      </c>
      <c r="G33" s="36">
        <f>'FOUND DATA - AVERAGE GRADES'!H36</f>
        <v>2</v>
      </c>
      <c r="H33" s="35">
        <f>'FOUND DATA - AVERAGE GRADES'!I36</f>
        <v>0.38</v>
      </c>
      <c r="I33" s="36">
        <f>'FOUND DATA - AVERAGE GRADES'!J36</f>
        <v>0</v>
      </c>
      <c r="J33" s="35">
        <f>'FOUND DATA - AVERAGE GRADES'!K36</f>
        <v>0</v>
      </c>
      <c r="K33" s="35">
        <f>'FOUND DATA - AVERAGE GRADES'!L36</f>
        <v>0.05</v>
      </c>
    </row>
    <row r="34">
      <c r="A34" s="36">
        <f>'FOUND DATA - AVERAGE GRADES'!B37</f>
        <v>12</v>
      </c>
      <c r="B34" s="35">
        <f>'FOUND DATA - AVERAGE GRADES'!C37</f>
        <v>0.4</v>
      </c>
      <c r="C34" s="36">
        <f>'FOUND DATA - AVERAGE GRADES'!D37</f>
        <v>2</v>
      </c>
      <c r="D34" s="35">
        <f>'FOUND DATA - AVERAGE GRADES'!E37</f>
        <v>0.3</v>
      </c>
      <c r="E34" s="36">
        <f>'FOUND DATA - AVERAGE GRADES'!F37</f>
        <v>0</v>
      </c>
      <c r="F34" s="35">
        <f>'FOUND DATA - AVERAGE GRADES'!G37</f>
        <v>0</v>
      </c>
      <c r="G34" s="36">
        <f>'FOUND DATA - AVERAGE GRADES'!H37</f>
        <v>2</v>
      </c>
      <c r="H34" s="35">
        <f>'FOUND DATA - AVERAGE GRADES'!I37</f>
        <v>0.3</v>
      </c>
      <c r="I34" s="36">
        <f>'FOUND DATA - AVERAGE GRADES'!J37</f>
        <v>0</v>
      </c>
      <c r="J34" s="35">
        <f>'FOUND DATA - AVERAGE GRADES'!K37</f>
        <v>0</v>
      </c>
      <c r="K34" s="35">
        <f>'FOUND DATA - AVERAGE GRADES'!L37</f>
        <v>0</v>
      </c>
    </row>
    <row r="35">
      <c r="A35" s="36">
        <f>'FOUND DATA - AVERAGE GRADES'!B38</f>
        <v>5</v>
      </c>
      <c r="B35" s="35">
        <f>'FOUND DATA - AVERAGE GRADES'!C38</f>
        <v>0.5</v>
      </c>
      <c r="C35" s="36">
        <f>'FOUND DATA - AVERAGE GRADES'!D38</f>
        <v>0</v>
      </c>
      <c r="D35" s="35">
        <f>'FOUND DATA - AVERAGE GRADES'!E38</f>
        <v>0</v>
      </c>
      <c r="E35" s="36">
        <f>'FOUND DATA - AVERAGE GRADES'!F38</f>
        <v>0</v>
      </c>
      <c r="F35" s="35">
        <f>'FOUND DATA - AVERAGE GRADES'!G38</f>
        <v>0</v>
      </c>
      <c r="G35" s="36">
        <f>'FOUND DATA - AVERAGE GRADES'!H38</f>
        <v>2</v>
      </c>
      <c r="H35" s="35">
        <f>'FOUND DATA - AVERAGE GRADES'!I38</f>
        <v>0.5</v>
      </c>
      <c r="I35" s="36">
        <f>'FOUND DATA - AVERAGE GRADES'!J38</f>
        <v>0</v>
      </c>
      <c r="J35" s="35">
        <f>'FOUND DATA - AVERAGE GRADES'!K38</f>
        <v>0</v>
      </c>
      <c r="K35" s="35">
        <f>'FOUND DATA - AVERAGE GRADES'!L38</f>
        <v>0</v>
      </c>
    </row>
    <row r="36">
      <c r="A36" s="36">
        <f>'FOUND DATA - AVERAGE GRADES'!B39</f>
        <v>21</v>
      </c>
      <c r="B36" s="35">
        <f>'FOUND DATA - AVERAGE GRADES'!C39</f>
        <v>0.7</v>
      </c>
      <c r="C36" s="36">
        <f>'FOUND DATA - AVERAGE GRADES'!D39</f>
        <v>1</v>
      </c>
      <c r="D36" s="35">
        <f>'FOUND DATA - AVERAGE GRADES'!E39</f>
        <v>0.3</v>
      </c>
      <c r="E36" s="36">
        <f>'FOUND DATA - AVERAGE GRADES'!F39</f>
        <v>0</v>
      </c>
      <c r="F36" s="35">
        <f>'FOUND DATA - AVERAGE GRADES'!G39</f>
        <v>0</v>
      </c>
      <c r="G36" s="36">
        <f>'FOUND DATA - AVERAGE GRADES'!H39</f>
        <v>0</v>
      </c>
      <c r="H36" s="35">
        <f>'FOUND DATA - AVERAGE GRADES'!I39</f>
        <v>0</v>
      </c>
      <c r="I36" s="36">
        <f>'FOUND DATA - AVERAGE GRADES'!J39</f>
        <v>0</v>
      </c>
      <c r="J36" s="35">
        <f>'FOUND DATA - AVERAGE GRADES'!K39</f>
        <v>0</v>
      </c>
      <c r="K36" s="35">
        <f>'FOUND DATA - AVERAGE GRADES'!L39</f>
        <v>0</v>
      </c>
    </row>
    <row r="37">
      <c r="A37" s="36">
        <f>'FOUND DATA - AVERAGE GRADES'!B40</f>
        <v>15</v>
      </c>
      <c r="B37" s="35">
        <f>'FOUND DATA - AVERAGE GRADES'!C40</f>
        <v>0.15</v>
      </c>
      <c r="C37" s="36">
        <f>'FOUND DATA - AVERAGE GRADES'!D40</f>
        <v>3</v>
      </c>
      <c r="D37" s="35">
        <f>'FOUND DATA - AVERAGE GRADES'!E40</f>
        <v>0.3</v>
      </c>
      <c r="E37" s="36">
        <f>'FOUND DATA - AVERAGE GRADES'!F40</f>
        <v>1</v>
      </c>
      <c r="F37" s="35">
        <f>'FOUND DATA - AVERAGE GRADES'!G40</f>
        <v>0.2</v>
      </c>
      <c r="G37" s="36">
        <f>'FOUND DATA - AVERAGE GRADES'!H40</f>
        <v>1</v>
      </c>
      <c r="H37" s="35">
        <f>'FOUND DATA - AVERAGE GRADES'!I40</f>
        <v>0.2</v>
      </c>
      <c r="I37" s="36">
        <f>'FOUND DATA - AVERAGE GRADES'!J40</f>
        <v>6</v>
      </c>
      <c r="J37" s="35">
        <f>'FOUND DATA - AVERAGE GRADES'!K40</f>
        <v>0.15</v>
      </c>
      <c r="K37" s="35">
        <f>'FOUND DATA - AVERAGE GRADES'!L40</f>
        <v>0</v>
      </c>
    </row>
    <row r="38">
      <c r="A38" s="36">
        <f>'FOUND DATA - AVERAGE GRADES'!B41</f>
        <v>15</v>
      </c>
      <c r="B38" s="35">
        <f>'FOUND DATA - AVERAGE GRADES'!C41</f>
        <v>0.15</v>
      </c>
      <c r="C38" s="36">
        <f>'FOUND DATA - AVERAGE GRADES'!D41</f>
        <v>3</v>
      </c>
      <c r="D38" s="35">
        <f>'FOUND DATA - AVERAGE GRADES'!E41</f>
        <v>0.3</v>
      </c>
      <c r="E38" s="36">
        <f>'FOUND DATA - AVERAGE GRADES'!F41</f>
        <v>1</v>
      </c>
      <c r="F38" s="35">
        <f>'FOUND DATA - AVERAGE GRADES'!G41</f>
        <v>0.2</v>
      </c>
      <c r="G38" s="36">
        <f>'FOUND DATA - AVERAGE GRADES'!H41</f>
        <v>1</v>
      </c>
      <c r="H38" s="35">
        <f>'FOUND DATA - AVERAGE GRADES'!I41</f>
        <v>0.2</v>
      </c>
      <c r="I38" s="36">
        <f>'FOUND DATA - AVERAGE GRADES'!J41</f>
        <v>6</v>
      </c>
      <c r="J38" s="35">
        <f>'FOUND DATA - AVERAGE GRADES'!K41</f>
        <v>0.15</v>
      </c>
      <c r="K38" s="35">
        <f>'FOUND DATA - AVERAGE GRADES'!L41</f>
        <v>0</v>
      </c>
    </row>
    <row r="39">
      <c r="A39" s="36">
        <f>'FOUND DATA - AVERAGE GRADES'!B42</f>
        <v>15</v>
      </c>
      <c r="B39" s="35">
        <f>'FOUND DATA - AVERAGE GRADES'!C42</f>
        <v>0.15</v>
      </c>
      <c r="C39" s="36">
        <f>'FOUND DATA - AVERAGE GRADES'!D42</f>
        <v>3</v>
      </c>
      <c r="D39" s="35">
        <f>'FOUND DATA - AVERAGE GRADES'!E42</f>
        <v>0.3</v>
      </c>
      <c r="E39" s="36">
        <f>'FOUND DATA - AVERAGE GRADES'!F42</f>
        <v>1</v>
      </c>
      <c r="F39" s="35">
        <f>'FOUND DATA - AVERAGE GRADES'!G42</f>
        <v>0.2</v>
      </c>
      <c r="G39" s="36">
        <f>'FOUND DATA - AVERAGE GRADES'!H42</f>
        <v>1</v>
      </c>
      <c r="H39" s="35">
        <f>'FOUND DATA - AVERAGE GRADES'!I42</f>
        <v>0.2</v>
      </c>
      <c r="I39" s="36">
        <f>'FOUND DATA - AVERAGE GRADES'!J42</f>
        <v>6</v>
      </c>
      <c r="J39" s="35">
        <f>'FOUND DATA - AVERAGE GRADES'!K42</f>
        <v>0.15</v>
      </c>
      <c r="K39" s="35">
        <f>'FOUND DATA - AVERAGE GRADES'!L42</f>
        <v>0</v>
      </c>
    </row>
    <row r="40">
      <c r="A40" s="36">
        <f>'FOUND DATA - AVERAGE GRADES'!B43</f>
        <v>7</v>
      </c>
      <c r="B40" s="35">
        <f>'FOUND DATA - AVERAGE GRADES'!C43</f>
        <v>0.5</v>
      </c>
      <c r="C40" s="36">
        <f>'FOUND DATA - AVERAGE GRADES'!D43</f>
        <v>0</v>
      </c>
      <c r="D40" s="35">
        <f>'FOUND DATA - AVERAGE GRADES'!E43</f>
        <v>0</v>
      </c>
      <c r="E40" s="36">
        <f>'FOUND DATA - AVERAGE GRADES'!F43</f>
        <v>1</v>
      </c>
      <c r="F40" s="35">
        <f>'FOUND DATA - AVERAGE GRADES'!G43</f>
        <v>0.3</v>
      </c>
      <c r="G40" s="36">
        <f>'FOUND DATA - AVERAGE GRADES'!H43</f>
        <v>1</v>
      </c>
      <c r="H40" s="35">
        <f>'FOUND DATA - AVERAGE GRADES'!I43</f>
        <v>0.2</v>
      </c>
      <c r="I40" s="36">
        <f>'FOUND DATA - AVERAGE GRADES'!J43</f>
        <v>0</v>
      </c>
      <c r="J40" s="35">
        <f>'FOUND DATA - AVERAGE GRADES'!K43</f>
        <v>0</v>
      </c>
      <c r="K40" s="35">
        <f>'FOUND DATA - AVERAGE GRADES'!L43</f>
        <v>0</v>
      </c>
    </row>
    <row r="41">
      <c r="A41" s="36">
        <f>'FOUND DATA - AVERAGE GRADES'!B44</f>
        <v>7</v>
      </c>
      <c r="B41" s="35">
        <f>'FOUND DATA - AVERAGE GRADES'!C44</f>
        <v>0.55</v>
      </c>
      <c r="C41" s="36">
        <f>'FOUND DATA - AVERAGE GRADES'!D44</f>
        <v>0</v>
      </c>
      <c r="D41" s="35">
        <f>'FOUND DATA - AVERAGE GRADES'!E44</f>
        <v>0</v>
      </c>
      <c r="E41" s="36">
        <f>'FOUND DATA - AVERAGE GRADES'!F44</f>
        <v>0</v>
      </c>
      <c r="F41" s="35">
        <f>'FOUND DATA - AVERAGE GRADES'!G44</f>
        <v>0</v>
      </c>
      <c r="G41" s="36">
        <f>'FOUND DATA - AVERAGE GRADES'!H44</f>
        <v>2</v>
      </c>
      <c r="H41" s="35">
        <f>'FOUND DATA - AVERAGE GRADES'!I44</f>
        <v>0.45</v>
      </c>
      <c r="I41" s="36">
        <f>'FOUND DATA - AVERAGE GRADES'!J44</f>
        <v>0</v>
      </c>
      <c r="J41" s="35">
        <f>'FOUND DATA - AVERAGE GRADES'!K44</f>
        <v>0</v>
      </c>
      <c r="K41" s="35">
        <f>'FOUND DATA - AVERAGE GRADES'!L44</f>
        <v>0</v>
      </c>
    </row>
    <row r="42">
      <c r="A42" s="36">
        <f>'FOUND DATA - AVERAGE GRADES'!B45</f>
        <v>11</v>
      </c>
      <c r="B42" s="35">
        <f>'FOUND DATA - AVERAGE GRADES'!C45</f>
        <v>0.22</v>
      </c>
      <c r="C42" s="36">
        <f>'FOUND DATA - AVERAGE GRADES'!D45</f>
        <v>0</v>
      </c>
      <c r="D42" s="35">
        <f>'FOUND DATA - AVERAGE GRADES'!E45</f>
        <v>0</v>
      </c>
      <c r="E42" s="36">
        <f>'FOUND DATA - AVERAGE GRADES'!F45</f>
        <v>1</v>
      </c>
      <c r="F42" s="35">
        <f>'FOUND DATA - AVERAGE GRADES'!G45</f>
        <v>0.24</v>
      </c>
      <c r="G42" s="36">
        <f>'FOUND DATA - AVERAGE GRADES'!H45</f>
        <v>2</v>
      </c>
      <c r="H42" s="35">
        <f>'FOUND DATA - AVERAGE GRADES'!I45</f>
        <v>0.49</v>
      </c>
      <c r="I42" s="36">
        <f>'FOUND DATA - AVERAGE GRADES'!J45</f>
        <v>10</v>
      </c>
      <c r="J42" s="35">
        <f>'FOUND DATA - AVERAGE GRADES'!K45</f>
        <v>0.05</v>
      </c>
      <c r="K42" s="35">
        <f>'FOUND DATA - AVERAGE GRADES'!L45</f>
        <v>0</v>
      </c>
    </row>
    <row r="43">
      <c r="A43" s="36">
        <f>'FOUND DATA - AVERAGE GRADES'!B46</f>
        <v>0</v>
      </c>
      <c r="B43" s="35">
        <f>'FOUND DATA - AVERAGE GRADES'!C46</f>
        <v>0</v>
      </c>
      <c r="C43" s="36">
        <f>'FOUND DATA - AVERAGE GRADES'!D46</f>
        <v>4</v>
      </c>
      <c r="D43" s="35">
        <f>'FOUND DATA - AVERAGE GRADES'!E46</f>
        <v>0.6</v>
      </c>
      <c r="E43" s="36">
        <f>'FOUND DATA - AVERAGE GRADES'!F46</f>
        <v>0</v>
      </c>
      <c r="F43" s="35">
        <f>'FOUND DATA - AVERAGE GRADES'!G46</f>
        <v>0</v>
      </c>
      <c r="G43" s="36">
        <f>'FOUND DATA - AVERAGE GRADES'!H46</f>
        <v>0</v>
      </c>
      <c r="H43" s="35">
        <f>'FOUND DATA - AVERAGE GRADES'!I46</f>
        <v>0</v>
      </c>
      <c r="I43" s="36">
        <f>'FOUND DATA - AVERAGE GRADES'!J46</f>
        <v>3</v>
      </c>
      <c r="J43" s="35">
        <f>'FOUND DATA - AVERAGE GRADES'!K46</f>
        <v>0.3</v>
      </c>
      <c r="K43" s="35">
        <f>'FOUND DATA - AVERAGE GRADES'!L46</f>
        <v>0.1</v>
      </c>
    </row>
    <row r="44">
      <c r="A44" s="36">
        <f>'FOUND DATA - AVERAGE GRADES'!B47</f>
        <v>11</v>
      </c>
      <c r="B44" s="35">
        <f>'FOUND DATA - AVERAGE GRADES'!C47</f>
        <v>0.6</v>
      </c>
      <c r="C44" s="36">
        <f>'FOUND DATA - AVERAGE GRADES'!D47</f>
        <v>1</v>
      </c>
      <c r="D44" s="35">
        <f>'FOUND DATA - AVERAGE GRADES'!E47</f>
        <v>0.4</v>
      </c>
      <c r="E44" s="36">
        <f>'FOUND DATA - AVERAGE GRADES'!F47</f>
        <v>0</v>
      </c>
      <c r="F44" s="35">
        <f>'FOUND DATA - AVERAGE GRADES'!G47</f>
        <v>0</v>
      </c>
      <c r="G44" s="36">
        <f>'FOUND DATA - AVERAGE GRADES'!H47</f>
        <v>0</v>
      </c>
      <c r="H44" s="35">
        <f>'FOUND DATA - AVERAGE GRADES'!I47</f>
        <v>0</v>
      </c>
      <c r="I44" s="36">
        <f>'FOUND DATA - AVERAGE GRADES'!J47</f>
        <v>0</v>
      </c>
      <c r="J44" s="35">
        <f>'FOUND DATA - AVERAGE GRADES'!K47</f>
        <v>0</v>
      </c>
      <c r="K44" s="35">
        <f>'FOUND DATA - AVERAGE GRADES'!L47</f>
        <v>0</v>
      </c>
    </row>
    <row r="45">
      <c r="A45" s="36">
        <f>'FOUND DATA - AVERAGE GRADES'!B48</f>
        <v>15</v>
      </c>
      <c r="B45" s="35">
        <f>'FOUND DATA - AVERAGE GRADES'!C48</f>
        <v>0.05</v>
      </c>
      <c r="C45" s="36">
        <f>'FOUND DATA - AVERAGE GRADES'!D48</f>
        <v>1</v>
      </c>
      <c r="D45" s="35">
        <f>'FOUND DATA - AVERAGE GRADES'!E48</f>
        <v>0.35</v>
      </c>
      <c r="E45" s="36">
        <f>'FOUND DATA - AVERAGE GRADES'!F48</f>
        <v>0</v>
      </c>
      <c r="F45" s="35">
        <f>'FOUND DATA - AVERAGE GRADES'!G48</f>
        <v>0</v>
      </c>
      <c r="G45" s="36">
        <f>'FOUND DATA - AVERAGE GRADES'!H48</f>
        <v>3</v>
      </c>
      <c r="H45" s="35">
        <f>'FOUND DATA - AVERAGE GRADES'!I48</f>
        <v>0.6</v>
      </c>
      <c r="I45" s="36">
        <f>'FOUND DATA - AVERAGE GRADES'!J48</f>
        <v>0</v>
      </c>
      <c r="J45" s="35">
        <f>'FOUND DATA - AVERAGE GRADES'!K48</f>
        <v>0</v>
      </c>
      <c r="K45" s="35">
        <f>'FOUND DATA - AVERAGE GRADES'!L48</f>
        <v>0</v>
      </c>
    </row>
    <row r="46">
      <c r="A46" s="36">
        <f>'FOUND DATA - AVERAGE GRADES'!B49</f>
        <v>13</v>
      </c>
      <c r="B46" s="35">
        <f>'FOUND DATA - AVERAGE GRADES'!C49</f>
        <v>0.25</v>
      </c>
      <c r="C46" s="36">
        <f>'FOUND DATA - AVERAGE GRADES'!D49</f>
        <v>0</v>
      </c>
      <c r="D46" s="35">
        <f>'FOUND DATA - AVERAGE GRADES'!E49</f>
        <v>0</v>
      </c>
      <c r="E46" s="36">
        <f>'FOUND DATA - AVERAGE GRADES'!F49</f>
        <v>1</v>
      </c>
      <c r="F46" s="35">
        <f>'FOUND DATA - AVERAGE GRADES'!G49</f>
        <v>0.35</v>
      </c>
      <c r="G46" s="36">
        <f>'FOUND DATA - AVERAGE GRADES'!H49</f>
        <v>2</v>
      </c>
      <c r="H46" s="35">
        <f>'FOUND DATA - AVERAGE GRADES'!I49</f>
        <v>0.4</v>
      </c>
      <c r="I46" s="36">
        <f>'FOUND DATA - AVERAGE GRADES'!J49</f>
        <v>0</v>
      </c>
      <c r="J46" s="35">
        <f>'FOUND DATA - AVERAGE GRADES'!K49</f>
        <v>0</v>
      </c>
      <c r="K46" s="35">
        <f>'FOUND DATA - AVERAGE GRADES'!L49</f>
        <v>0</v>
      </c>
    </row>
    <row r="47">
      <c r="A47" s="36">
        <f>'FOUND DATA - AVERAGE GRADES'!B50</f>
        <v>14</v>
      </c>
      <c r="B47" s="35">
        <f>'FOUND DATA - AVERAGE GRADES'!C50</f>
        <v>0.15</v>
      </c>
      <c r="C47" s="36">
        <f>'FOUND DATA - AVERAGE GRADES'!D50</f>
        <v>0</v>
      </c>
      <c r="D47" s="35">
        <f>'FOUND DATA - AVERAGE GRADES'!E50</f>
        <v>0</v>
      </c>
      <c r="E47" s="36">
        <f>'FOUND DATA - AVERAGE GRADES'!F50</f>
        <v>1</v>
      </c>
      <c r="F47" s="35">
        <f>'FOUND DATA - AVERAGE GRADES'!G50</f>
        <v>0.25</v>
      </c>
      <c r="G47" s="36">
        <f>'FOUND DATA - AVERAGE GRADES'!H50</f>
        <v>2</v>
      </c>
      <c r="H47" s="35">
        <f>'FOUND DATA - AVERAGE GRADES'!I50</f>
        <v>0.45</v>
      </c>
      <c r="I47" s="36">
        <f>'FOUND DATA - AVERAGE GRADES'!J50</f>
        <v>42</v>
      </c>
      <c r="J47" s="35">
        <f>'FOUND DATA - AVERAGE GRADES'!K50</f>
        <v>0.1</v>
      </c>
      <c r="K47" s="35">
        <f>'FOUND DATA - AVERAGE GRADES'!L50</f>
        <v>0.05</v>
      </c>
    </row>
    <row r="48">
      <c r="A48" s="36">
        <f>'FOUND DATA - AVERAGE GRADES'!B51</f>
        <v>6</v>
      </c>
      <c r="B48" s="35">
        <f>'FOUND DATA - AVERAGE GRADES'!C51</f>
        <v>0.15</v>
      </c>
      <c r="C48" s="36">
        <f>'FOUND DATA - AVERAGE GRADES'!D51</f>
        <v>5</v>
      </c>
      <c r="D48" s="35">
        <f>'FOUND DATA - AVERAGE GRADES'!E51</f>
        <v>0.3</v>
      </c>
      <c r="E48" s="36">
        <f>'FOUND DATA - AVERAGE GRADES'!F51</f>
        <v>0</v>
      </c>
      <c r="F48" s="35">
        <f>'FOUND DATA - AVERAGE GRADES'!G51</f>
        <v>0</v>
      </c>
      <c r="G48" s="36">
        <f>'FOUND DATA - AVERAGE GRADES'!H51</f>
        <v>3</v>
      </c>
      <c r="H48" s="35">
        <f>'FOUND DATA - AVERAGE GRADES'!I51</f>
        <v>0.45</v>
      </c>
      <c r="I48" s="36">
        <f>'FOUND DATA - AVERAGE GRADES'!J51</f>
        <v>26</v>
      </c>
      <c r="J48" s="35">
        <f>'FOUND DATA - AVERAGE GRADES'!K51</f>
        <v>0.1</v>
      </c>
      <c r="K48" s="35">
        <f>'FOUND DATA - AVERAGE GRADES'!L51</f>
        <v>0</v>
      </c>
    </row>
    <row r="49">
      <c r="A49" s="36">
        <f>'FOUND DATA - AVERAGE GRADES'!B52</f>
        <v>17</v>
      </c>
      <c r="B49" s="35">
        <f>'FOUND DATA - AVERAGE GRADES'!C52</f>
        <v>0.15</v>
      </c>
      <c r="C49" s="36">
        <f>'FOUND DATA - AVERAGE GRADES'!D52</f>
        <v>0</v>
      </c>
      <c r="D49" s="35">
        <f>'FOUND DATA - AVERAGE GRADES'!E52</f>
        <v>0</v>
      </c>
      <c r="E49" s="36">
        <f>'FOUND DATA - AVERAGE GRADES'!F52</f>
        <v>1</v>
      </c>
      <c r="F49" s="35">
        <f>'FOUND DATA - AVERAGE GRADES'!G52</f>
        <v>0.3</v>
      </c>
      <c r="G49" s="36">
        <f>'FOUND DATA - AVERAGE GRADES'!H52</f>
        <v>2</v>
      </c>
      <c r="H49" s="35">
        <f>'FOUND DATA - AVERAGE GRADES'!I52</f>
        <v>0.5</v>
      </c>
      <c r="I49" s="36">
        <f>'FOUND DATA - AVERAGE GRADES'!J52</f>
        <v>0</v>
      </c>
      <c r="J49" s="35">
        <f>'FOUND DATA - AVERAGE GRADES'!K52</f>
        <v>0</v>
      </c>
      <c r="K49" s="35">
        <f>'FOUND DATA - AVERAGE GRADES'!L52</f>
        <v>0.05</v>
      </c>
    </row>
    <row r="50">
      <c r="A50" s="36">
        <f>'FOUND DATA - AVERAGE GRADES'!B53</f>
        <v>8</v>
      </c>
      <c r="B50" s="35">
        <f>'FOUND DATA - AVERAGE GRADES'!C53</f>
        <v>0.3</v>
      </c>
      <c r="C50" s="36">
        <f>'FOUND DATA - AVERAGE GRADES'!D53</f>
        <v>0</v>
      </c>
      <c r="D50" s="35">
        <f>'FOUND DATA - AVERAGE GRADES'!E53</f>
        <v>0</v>
      </c>
      <c r="E50" s="36">
        <f>'FOUND DATA - AVERAGE GRADES'!F53</f>
        <v>1</v>
      </c>
      <c r="F50" s="35">
        <f>'FOUND DATA - AVERAGE GRADES'!G53</f>
        <v>0.3</v>
      </c>
      <c r="G50" s="36">
        <f>'FOUND DATA - AVERAGE GRADES'!H53</f>
        <v>2</v>
      </c>
      <c r="H50" s="35">
        <f>'FOUND DATA - AVERAGE GRADES'!I53</f>
        <v>0.4</v>
      </c>
      <c r="I50" s="36">
        <f>'FOUND DATA - AVERAGE GRADES'!J53</f>
        <v>0</v>
      </c>
      <c r="J50" s="35">
        <f>'FOUND DATA - AVERAGE GRADES'!K53</f>
        <v>0</v>
      </c>
      <c r="K50" s="35">
        <f>'FOUND DATA - AVERAGE GRADES'!L53</f>
        <v>0</v>
      </c>
    </row>
    <row r="51">
      <c r="A51" s="36">
        <f>'FOUND DATA - AVERAGE GRADES'!B54</f>
        <v>7</v>
      </c>
      <c r="B51" s="35">
        <f>'FOUND DATA - AVERAGE GRADES'!C54</f>
        <v>0.1</v>
      </c>
      <c r="C51" s="36">
        <f>'FOUND DATA - AVERAGE GRADES'!D54</f>
        <v>0</v>
      </c>
      <c r="D51" s="35">
        <f>'FOUND DATA - AVERAGE GRADES'!E54</f>
        <v>0</v>
      </c>
      <c r="E51" s="36">
        <f>'FOUND DATA - AVERAGE GRADES'!F54</f>
        <v>1</v>
      </c>
      <c r="F51" s="35">
        <f>'FOUND DATA - AVERAGE GRADES'!G54</f>
        <v>0.45</v>
      </c>
      <c r="G51" s="36">
        <f>'FOUND DATA - AVERAGE GRADES'!H54</f>
        <v>2</v>
      </c>
      <c r="H51" s="35">
        <f>'FOUND DATA - AVERAGE GRADES'!I54</f>
        <v>0.4</v>
      </c>
      <c r="I51" s="36">
        <f>'FOUND DATA - AVERAGE GRADES'!J54</f>
        <v>0</v>
      </c>
      <c r="J51" s="35">
        <f>'FOUND DATA - AVERAGE GRADES'!K54</f>
        <v>0</v>
      </c>
      <c r="K51" s="35">
        <f>'FOUND DATA - AVERAGE GRADES'!L54</f>
        <v>0.05</v>
      </c>
    </row>
    <row r="52">
      <c r="A52" s="36">
        <f>'FOUND DATA - AVERAGE GRADES'!B55</f>
        <v>12</v>
      </c>
      <c r="B52" s="35">
        <f>'FOUND DATA - AVERAGE GRADES'!C55</f>
        <v>0.65</v>
      </c>
      <c r="C52" s="36">
        <f>'FOUND DATA - AVERAGE GRADES'!D55</f>
        <v>3</v>
      </c>
      <c r="D52" s="35">
        <f>'FOUND DATA - AVERAGE GRADES'!E55</f>
        <v>0.15</v>
      </c>
      <c r="E52" s="36">
        <f>'FOUND DATA - AVERAGE GRADES'!F55</f>
        <v>0</v>
      </c>
      <c r="F52" s="35">
        <f>'FOUND DATA - AVERAGE GRADES'!G55</f>
        <v>0</v>
      </c>
      <c r="G52" s="36">
        <f>'FOUND DATA - AVERAGE GRADES'!H55</f>
        <v>0</v>
      </c>
      <c r="H52" s="35">
        <f>'FOUND DATA - AVERAGE GRADES'!I55</f>
        <v>0</v>
      </c>
      <c r="I52" s="36">
        <f>'FOUND DATA - AVERAGE GRADES'!J55</f>
        <v>29</v>
      </c>
      <c r="J52" s="35">
        <f>'FOUND DATA - AVERAGE GRADES'!K55</f>
        <v>0.2</v>
      </c>
      <c r="K52" s="35">
        <f>'FOUND DATA - AVERAGE GRADES'!L55</f>
        <v>0</v>
      </c>
    </row>
    <row r="53">
      <c r="A53" s="36">
        <f>'FOUND DATA - AVERAGE GRADES'!B56</f>
        <v>7</v>
      </c>
      <c r="B53" s="35">
        <f>'FOUND DATA - AVERAGE GRADES'!C56</f>
        <v>0.15</v>
      </c>
      <c r="C53" s="36">
        <f>'FOUND DATA - AVERAGE GRADES'!D56</f>
        <v>0</v>
      </c>
      <c r="D53" s="35">
        <f>'FOUND DATA - AVERAGE GRADES'!E56</f>
        <v>0</v>
      </c>
      <c r="E53" s="36">
        <f>'FOUND DATA - AVERAGE GRADES'!F56</f>
        <v>1</v>
      </c>
      <c r="F53" s="35">
        <f>'FOUND DATA - AVERAGE GRADES'!G56</f>
        <v>0.35</v>
      </c>
      <c r="G53" s="36">
        <f>'FOUND DATA - AVERAGE GRADES'!H56</f>
        <v>0</v>
      </c>
      <c r="H53" s="35">
        <f>'FOUND DATA - AVERAGE GRADES'!I56</f>
        <v>0</v>
      </c>
      <c r="I53" s="36">
        <f>'FOUND DATA - AVERAGE GRADES'!J56</f>
        <v>2</v>
      </c>
      <c r="J53" s="35">
        <f>'FOUND DATA - AVERAGE GRADES'!K56</f>
        <v>0.5</v>
      </c>
      <c r="K53" s="35">
        <f>'FOUND DATA - AVERAGE GRADES'!L56</f>
        <v>0</v>
      </c>
    </row>
    <row r="54">
      <c r="A54" s="36">
        <f>'FOUND DATA - AVERAGE GRADES'!B57</f>
        <v>12</v>
      </c>
      <c r="B54" s="35">
        <f>'FOUND DATA - AVERAGE GRADES'!C57</f>
        <v>0.15</v>
      </c>
      <c r="C54" s="36">
        <f>'FOUND DATA - AVERAGE GRADES'!D57</f>
        <v>0</v>
      </c>
      <c r="D54" s="35">
        <f>'FOUND DATA - AVERAGE GRADES'!E57</f>
        <v>0</v>
      </c>
      <c r="E54" s="36">
        <f>'FOUND DATA - AVERAGE GRADES'!F57</f>
        <v>1</v>
      </c>
      <c r="F54" s="35">
        <f>'FOUND DATA - AVERAGE GRADES'!G57</f>
        <v>0.3</v>
      </c>
      <c r="G54" s="36">
        <f>'FOUND DATA - AVERAGE GRADES'!H57</f>
        <v>2</v>
      </c>
      <c r="H54" s="35">
        <f>'FOUND DATA - AVERAGE GRADES'!I57</f>
        <v>0.5</v>
      </c>
      <c r="I54" s="36">
        <f>'FOUND DATA - AVERAGE GRADES'!J57</f>
        <v>0</v>
      </c>
      <c r="J54" s="35">
        <f>'FOUND DATA - AVERAGE GRADES'!K57</f>
        <v>0</v>
      </c>
      <c r="K54" s="35">
        <f>'FOUND DATA - AVERAGE GRADES'!L57</f>
        <v>0.05</v>
      </c>
    </row>
    <row r="55">
      <c r="A55" s="36">
        <f>'FOUND DATA - AVERAGE GRADES'!B58</f>
        <v>12</v>
      </c>
      <c r="B55" s="35">
        <f>'FOUND DATA - AVERAGE GRADES'!C58</f>
        <v>0.2</v>
      </c>
      <c r="C55" s="36">
        <f>'FOUND DATA - AVERAGE GRADES'!D58</f>
        <v>0</v>
      </c>
      <c r="D55" s="35">
        <f>'FOUND DATA - AVERAGE GRADES'!E58</f>
        <v>0</v>
      </c>
      <c r="E55" s="36">
        <f>'FOUND DATA - AVERAGE GRADES'!F58</f>
        <v>1</v>
      </c>
      <c r="F55" s="35">
        <f>'FOUND DATA - AVERAGE GRADES'!G58</f>
        <v>0.4</v>
      </c>
      <c r="G55" s="36">
        <f>'FOUND DATA - AVERAGE GRADES'!H58</f>
        <v>2</v>
      </c>
      <c r="H55" s="35">
        <f>'FOUND DATA - AVERAGE GRADES'!I58</f>
        <v>0.4</v>
      </c>
      <c r="I55" s="36">
        <f>'FOUND DATA - AVERAGE GRADES'!J58</f>
        <v>0</v>
      </c>
      <c r="J55" s="35">
        <f>'FOUND DATA - AVERAGE GRADES'!K58</f>
        <v>0</v>
      </c>
      <c r="K55" s="35">
        <f>'FOUND DATA - AVERAGE GRADES'!L58</f>
        <v>0</v>
      </c>
    </row>
    <row r="56">
      <c r="A56" s="36">
        <f>'FOUND DATA - AVERAGE GRADES'!B59</f>
        <v>9</v>
      </c>
      <c r="B56" s="35">
        <f>'FOUND DATA - AVERAGE GRADES'!C59</f>
        <v>0.1</v>
      </c>
      <c r="C56" s="36">
        <f>'FOUND DATA - AVERAGE GRADES'!D59</f>
        <v>0</v>
      </c>
      <c r="D56" s="35">
        <f>'FOUND DATA - AVERAGE GRADES'!E59</f>
        <v>0</v>
      </c>
      <c r="E56" s="36">
        <f>'FOUND DATA - AVERAGE GRADES'!F59</f>
        <v>1</v>
      </c>
      <c r="F56" s="35">
        <f>'FOUND DATA - AVERAGE GRADES'!G59</f>
        <v>0.4</v>
      </c>
      <c r="G56" s="36">
        <f>'FOUND DATA - AVERAGE GRADES'!H59</f>
        <v>2</v>
      </c>
      <c r="H56" s="35">
        <f>'FOUND DATA - AVERAGE GRADES'!I59</f>
        <v>0.5</v>
      </c>
      <c r="I56" s="36">
        <f>'FOUND DATA - AVERAGE GRADES'!J59</f>
        <v>0</v>
      </c>
      <c r="J56" s="35">
        <f>'FOUND DATA - AVERAGE GRADES'!K59</f>
        <v>0</v>
      </c>
      <c r="K56" s="35">
        <f>'FOUND DATA - AVERAGE GRADES'!L59</f>
        <v>0</v>
      </c>
    </row>
    <row r="57">
      <c r="A57" s="36">
        <f>'FOUND DATA - AVERAGE GRADES'!B60</f>
        <v>9</v>
      </c>
      <c r="B57" s="35">
        <f>'FOUND DATA - AVERAGE GRADES'!C60</f>
        <v>0.1</v>
      </c>
      <c r="C57" s="36">
        <f>'FOUND DATA - AVERAGE GRADES'!D60</f>
        <v>0</v>
      </c>
      <c r="D57" s="35">
        <f>'FOUND DATA - AVERAGE GRADES'!E60</f>
        <v>0</v>
      </c>
      <c r="E57" s="36">
        <f>'FOUND DATA - AVERAGE GRADES'!F60</f>
        <v>1</v>
      </c>
      <c r="F57" s="35">
        <f>'FOUND DATA - AVERAGE GRADES'!G60</f>
        <v>0.4</v>
      </c>
      <c r="G57" s="36">
        <f>'FOUND DATA - AVERAGE GRADES'!H60</f>
        <v>2</v>
      </c>
      <c r="H57" s="35">
        <f>'FOUND DATA - AVERAGE GRADES'!I60</f>
        <v>0.5</v>
      </c>
      <c r="I57" s="36">
        <f>'FOUND DATA - AVERAGE GRADES'!J60</f>
        <v>0</v>
      </c>
      <c r="J57" s="35">
        <f>'FOUND DATA - AVERAGE GRADES'!K60</f>
        <v>0</v>
      </c>
      <c r="K57" s="35">
        <f>'FOUND DATA - AVERAGE GRADES'!L60</f>
        <v>0</v>
      </c>
    </row>
    <row r="58">
      <c r="A58" s="36">
        <f>'FOUND DATA - AVERAGE GRADES'!B61</f>
        <v>7</v>
      </c>
      <c r="B58" s="35">
        <f>'FOUND DATA - AVERAGE GRADES'!C61</f>
        <v>0.1</v>
      </c>
      <c r="C58" s="36">
        <f>'FOUND DATA - AVERAGE GRADES'!D61</f>
        <v>0</v>
      </c>
      <c r="D58" s="35">
        <f>'FOUND DATA - AVERAGE GRADES'!E61</f>
        <v>0</v>
      </c>
      <c r="E58" s="36">
        <f>'FOUND DATA - AVERAGE GRADES'!F61</f>
        <v>1</v>
      </c>
      <c r="F58" s="35">
        <f>'FOUND DATA - AVERAGE GRADES'!G61</f>
        <v>0.3</v>
      </c>
      <c r="G58" s="36">
        <f>'FOUND DATA - AVERAGE GRADES'!H61</f>
        <v>2</v>
      </c>
      <c r="H58" s="35">
        <f>'FOUND DATA - AVERAGE GRADES'!I61</f>
        <v>0.5</v>
      </c>
      <c r="I58" s="36">
        <f>'FOUND DATA - AVERAGE GRADES'!J61</f>
        <v>5</v>
      </c>
      <c r="J58" s="35">
        <f>'FOUND DATA - AVERAGE GRADES'!K61</f>
        <v>0.1</v>
      </c>
      <c r="K58" s="35">
        <f>'FOUND DATA - AVERAGE GRADES'!L61</f>
        <v>0</v>
      </c>
    </row>
    <row r="59">
      <c r="A59" s="36">
        <f>'FOUND DATA - AVERAGE GRADES'!B62</f>
        <v>10</v>
      </c>
      <c r="B59" s="35">
        <f>'FOUND DATA - AVERAGE GRADES'!C62</f>
        <v>0.2</v>
      </c>
      <c r="C59" s="36">
        <f>'FOUND DATA - AVERAGE GRADES'!D62</f>
        <v>1</v>
      </c>
      <c r="D59" s="35">
        <f>'FOUND DATA - AVERAGE GRADES'!E62</f>
        <v>0.1</v>
      </c>
      <c r="E59" s="36">
        <f>'FOUND DATA - AVERAGE GRADES'!F62</f>
        <v>1</v>
      </c>
      <c r="F59" s="35">
        <f>'FOUND DATA - AVERAGE GRADES'!G62</f>
        <v>0.3</v>
      </c>
      <c r="G59" s="36">
        <f>'FOUND DATA - AVERAGE GRADES'!H62</f>
        <v>2</v>
      </c>
      <c r="H59" s="35">
        <f>'FOUND DATA - AVERAGE GRADES'!I62</f>
        <v>0.35</v>
      </c>
      <c r="I59" s="36">
        <f>'FOUND DATA - AVERAGE GRADES'!J62</f>
        <v>0</v>
      </c>
      <c r="J59" s="35">
        <f>'FOUND DATA - AVERAGE GRADES'!K62</f>
        <v>0</v>
      </c>
      <c r="K59" s="35">
        <f>'FOUND DATA - AVERAGE GRADES'!L62</f>
        <v>0.05</v>
      </c>
    </row>
    <row r="60">
      <c r="A60" s="36">
        <f>'FOUND DATA - AVERAGE GRADES'!B63</f>
        <v>10</v>
      </c>
      <c r="B60" s="35">
        <f>'FOUND DATA - AVERAGE GRADES'!C63</f>
        <v>0.2</v>
      </c>
      <c r="C60" s="36">
        <f>'FOUND DATA - AVERAGE GRADES'!D63</f>
        <v>1</v>
      </c>
      <c r="D60" s="35">
        <f>'FOUND DATA - AVERAGE GRADES'!E63</f>
        <v>0.1</v>
      </c>
      <c r="E60" s="36">
        <f>'FOUND DATA - AVERAGE GRADES'!F63</f>
        <v>1</v>
      </c>
      <c r="F60" s="35">
        <f>'FOUND DATA - AVERAGE GRADES'!G63</f>
        <v>0.3</v>
      </c>
      <c r="G60" s="36">
        <f>'FOUND DATA - AVERAGE GRADES'!H63</f>
        <v>2</v>
      </c>
      <c r="H60" s="35">
        <f>'FOUND DATA - AVERAGE GRADES'!I63</f>
        <v>0.35</v>
      </c>
      <c r="I60" s="36">
        <f>'FOUND DATA - AVERAGE GRADES'!J63</f>
        <v>0</v>
      </c>
      <c r="J60" s="35">
        <f>'FOUND DATA - AVERAGE GRADES'!K63</f>
        <v>0</v>
      </c>
      <c r="K60" s="35">
        <f>'FOUND DATA - AVERAGE GRADES'!L63</f>
        <v>0.05</v>
      </c>
    </row>
    <row r="61">
      <c r="A61" s="36">
        <f>'FOUND DATA - AVERAGE GRADES'!B64</f>
        <v>9</v>
      </c>
      <c r="B61" s="35">
        <f>'FOUND DATA - AVERAGE GRADES'!C64</f>
        <v>0.075</v>
      </c>
      <c r="C61" s="36">
        <f>'FOUND DATA - AVERAGE GRADES'!D64</f>
        <v>1</v>
      </c>
      <c r="D61" s="35">
        <f>'FOUND DATA - AVERAGE GRADES'!E64</f>
        <v>0.4</v>
      </c>
      <c r="E61" s="36">
        <f>'FOUND DATA - AVERAGE GRADES'!F64</f>
        <v>0</v>
      </c>
      <c r="F61" s="35">
        <f>'FOUND DATA - AVERAGE GRADES'!G64</f>
        <v>0</v>
      </c>
      <c r="G61" s="36">
        <f>'FOUND DATA - AVERAGE GRADES'!H64</f>
        <v>2</v>
      </c>
      <c r="H61" s="35">
        <f>'FOUND DATA - AVERAGE GRADES'!I64</f>
        <v>0.45</v>
      </c>
      <c r="I61" s="36">
        <f>'FOUND DATA - AVERAGE GRADES'!J64</f>
        <v>12</v>
      </c>
      <c r="J61" s="35">
        <f>'FOUND DATA - AVERAGE GRADES'!K64</f>
        <v>0.075</v>
      </c>
      <c r="K61" s="35">
        <f>'FOUND DATA - AVERAGE GRADES'!L64</f>
        <v>0</v>
      </c>
    </row>
    <row r="62">
      <c r="A62" s="36">
        <f>'FOUND DATA - AVERAGE GRADES'!B65</f>
        <v>13</v>
      </c>
      <c r="B62" s="35">
        <f>'FOUND DATA - AVERAGE GRADES'!C65</f>
        <v>0.2</v>
      </c>
      <c r="C62" s="36">
        <f>'FOUND DATA - AVERAGE GRADES'!D65</f>
        <v>0</v>
      </c>
      <c r="D62" s="35">
        <f>'FOUND DATA - AVERAGE GRADES'!E65</f>
        <v>0</v>
      </c>
      <c r="E62" s="36">
        <f>'FOUND DATA - AVERAGE GRADES'!F65</f>
        <v>1</v>
      </c>
      <c r="F62" s="35">
        <f>'FOUND DATA - AVERAGE GRADES'!G65</f>
        <v>0.35</v>
      </c>
      <c r="G62" s="36">
        <f>'FOUND DATA - AVERAGE GRADES'!H65</f>
        <v>3</v>
      </c>
      <c r="H62" s="35">
        <f>'FOUND DATA - AVERAGE GRADES'!I65</f>
        <v>0.45</v>
      </c>
      <c r="I62" s="36">
        <f>'FOUND DATA - AVERAGE GRADES'!J65</f>
        <v>0</v>
      </c>
      <c r="J62" s="35">
        <f>'FOUND DATA - AVERAGE GRADES'!K65</f>
        <v>0</v>
      </c>
      <c r="K62" s="35">
        <f>'FOUND DATA - AVERAGE GRADES'!L65</f>
        <v>0</v>
      </c>
    </row>
    <row r="63">
      <c r="A63" s="36">
        <f>'FOUND DATA - AVERAGE GRADES'!B66</f>
        <v>0</v>
      </c>
      <c r="B63" s="35">
        <f>'FOUND DATA - AVERAGE GRADES'!C66</f>
        <v>0</v>
      </c>
      <c r="C63" s="36">
        <f>'FOUND DATA - AVERAGE GRADES'!D66</f>
        <v>0</v>
      </c>
      <c r="D63" s="35">
        <f>'FOUND DATA - AVERAGE GRADES'!E66</f>
        <v>0</v>
      </c>
      <c r="E63" s="36">
        <f>'FOUND DATA - AVERAGE GRADES'!F66</f>
        <v>1</v>
      </c>
      <c r="F63" s="35">
        <f>'FOUND DATA - AVERAGE GRADES'!G66</f>
        <v>0.3</v>
      </c>
      <c r="G63" s="36">
        <f>'FOUND DATA - AVERAGE GRADES'!H66</f>
        <v>2</v>
      </c>
      <c r="H63" s="35">
        <f>'FOUND DATA - AVERAGE GRADES'!I66</f>
        <v>0.5</v>
      </c>
      <c r="I63" s="36">
        <f>'FOUND DATA - AVERAGE GRADES'!J66</f>
        <v>12</v>
      </c>
      <c r="J63" s="35">
        <f>'FOUND DATA - AVERAGE GRADES'!K66</f>
        <v>0.2</v>
      </c>
      <c r="K63" s="35">
        <f>'FOUND DATA - AVERAGE GRADES'!L66</f>
        <v>0</v>
      </c>
    </row>
    <row r="64">
      <c r="A64" s="36">
        <f>'FOUND DATA - AVERAGE GRADES'!B67</f>
        <v>0</v>
      </c>
      <c r="B64" s="35">
        <f>'FOUND DATA - AVERAGE GRADES'!C67</f>
        <v>0</v>
      </c>
      <c r="C64" s="36">
        <f>'FOUND DATA - AVERAGE GRADES'!D67</f>
        <v>0</v>
      </c>
      <c r="D64" s="35">
        <f>'FOUND DATA - AVERAGE GRADES'!E67</f>
        <v>0</v>
      </c>
      <c r="E64" s="36">
        <f>'FOUND DATA - AVERAGE GRADES'!F67</f>
        <v>1</v>
      </c>
      <c r="F64" s="35">
        <f>'FOUND DATA - AVERAGE GRADES'!G67</f>
        <v>0.35</v>
      </c>
      <c r="G64" s="36">
        <f>'FOUND DATA - AVERAGE GRADES'!H67</f>
        <v>2</v>
      </c>
      <c r="H64" s="35">
        <f>'FOUND DATA - AVERAGE GRADES'!I67</f>
        <v>0.5</v>
      </c>
      <c r="I64" s="36">
        <f>'FOUND DATA - AVERAGE GRADES'!J67</f>
        <v>12</v>
      </c>
      <c r="J64" s="35">
        <f>'FOUND DATA - AVERAGE GRADES'!K67</f>
        <v>0.15</v>
      </c>
      <c r="K64" s="35">
        <f>'FOUND DATA - AVERAGE GRADES'!L67</f>
        <v>0</v>
      </c>
    </row>
    <row r="65">
      <c r="A65" s="36">
        <f>'FOUND DATA - AVERAGE GRADES'!B68</f>
        <v>11</v>
      </c>
      <c r="B65" s="35">
        <f>'FOUND DATA - AVERAGE GRADES'!C68</f>
        <v>0.1</v>
      </c>
      <c r="C65" s="36">
        <f>'FOUND DATA - AVERAGE GRADES'!D68</f>
        <v>0</v>
      </c>
      <c r="D65" s="35">
        <f>'FOUND DATA - AVERAGE GRADES'!E68</f>
        <v>0</v>
      </c>
      <c r="E65" s="36">
        <f>'FOUND DATA - AVERAGE GRADES'!F68</f>
        <v>1</v>
      </c>
      <c r="F65" s="35">
        <f>'FOUND DATA - AVERAGE GRADES'!G68</f>
        <v>0.3</v>
      </c>
      <c r="G65" s="36">
        <f>'FOUND DATA - AVERAGE GRADES'!H68</f>
        <v>3</v>
      </c>
      <c r="H65" s="35">
        <f>'FOUND DATA - AVERAGE GRADES'!I68</f>
        <v>0.5</v>
      </c>
      <c r="I65" s="36">
        <f>'FOUND DATA - AVERAGE GRADES'!J68</f>
        <v>9</v>
      </c>
      <c r="J65" s="35">
        <f>'FOUND DATA - AVERAGE GRADES'!K68</f>
        <v>0.1</v>
      </c>
      <c r="K65" s="35">
        <f>'FOUND DATA - AVERAGE GRADES'!L68</f>
        <v>0</v>
      </c>
    </row>
    <row r="66">
      <c r="A66" s="36">
        <f>'FOUND DATA - AVERAGE GRADES'!B69</f>
        <v>10</v>
      </c>
      <c r="B66" s="35">
        <f>'FOUND DATA - AVERAGE GRADES'!C69</f>
        <v>0.15</v>
      </c>
      <c r="C66" s="36">
        <f>'FOUND DATA - AVERAGE GRADES'!D69</f>
        <v>0</v>
      </c>
      <c r="D66" s="35">
        <f>'FOUND DATA - AVERAGE GRADES'!E69</f>
        <v>0</v>
      </c>
      <c r="E66" s="36">
        <f>'FOUND DATA - AVERAGE GRADES'!F69</f>
        <v>1</v>
      </c>
      <c r="F66" s="35">
        <f>'FOUND DATA - AVERAGE GRADES'!G69</f>
        <v>0.3</v>
      </c>
      <c r="G66" s="36">
        <f>'FOUND DATA - AVERAGE GRADES'!H69</f>
        <v>2</v>
      </c>
      <c r="H66" s="35">
        <f>'FOUND DATA - AVERAGE GRADES'!I69</f>
        <v>0.4</v>
      </c>
      <c r="I66" s="36">
        <f>'FOUND DATA - AVERAGE GRADES'!J69</f>
        <v>0</v>
      </c>
      <c r="J66" s="35">
        <f>'FOUND DATA - AVERAGE GRADES'!K69</f>
        <v>0</v>
      </c>
      <c r="K66" s="35">
        <f>'FOUND DATA - AVERAGE GRADES'!L69</f>
        <v>0.15</v>
      </c>
    </row>
    <row r="67">
      <c r="A67" s="36">
        <f>'FOUND DATA - AVERAGE GRADES'!B70</f>
        <v>12</v>
      </c>
      <c r="B67" s="35">
        <f>'FOUND DATA - AVERAGE GRADES'!C70</f>
        <v>0.15</v>
      </c>
      <c r="C67" s="36">
        <f>'FOUND DATA - AVERAGE GRADES'!D70</f>
        <v>0</v>
      </c>
      <c r="D67" s="35">
        <f>'FOUND DATA - AVERAGE GRADES'!E70</f>
        <v>0</v>
      </c>
      <c r="E67" s="36">
        <f>'FOUND DATA - AVERAGE GRADES'!F70</f>
        <v>1</v>
      </c>
      <c r="F67" s="35">
        <f>'FOUND DATA - AVERAGE GRADES'!G70</f>
        <v>0.35</v>
      </c>
      <c r="G67" s="36">
        <f>'FOUND DATA - AVERAGE GRADES'!H70</f>
        <v>2</v>
      </c>
      <c r="H67" s="35">
        <f>'FOUND DATA - AVERAGE GRADES'!I70</f>
        <v>0.5</v>
      </c>
      <c r="I67" s="36">
        <f>'FOUND DATA - AVERAGE GRADES'!J70</f>
        <v>0</v>
      </c>
      <c r="J67" s="35">
        <f>'FOUND DATA - AVERAGE GRADES'!K70</f>
        <v>0</v>
      </c>
      <c r="K67" s="35">
        <f>'FOUND DATA - AVERAGE GRADES'!L70</f>
        <v>0</v>
      </c>
    </row>
    <row r="68">
      <c r="A68" s="36">
        <f>'FOUND DATA - AVERAGE GRADES'!B71</f>
        <v>0</v>
      </c>
      <c r="B68" s="35">
        <f>'FOUND DATA - AVERAGE GRADES'!C71</f>
        <v>0</v>
      </c>
      <c r="C68" s="36">
        <f>'FOUND DATA - AVERAGE GRADES'!D71</f>
        <v>0</v>
      </c>
      <c r="D68" s="35">
        <f>'FOUND DATA - AVERAGE GRADES'!E71</f>
        <v>0</v>
      </c>
      <c r="E68" s="36">
        <f>'FOUND DATA - AVERAGE GRADES'!F71</f>
        <v>1</v>
      </c>
      <c r="F68" s="35">
        <f>'FOUND DATA - AVERAGE GRADES'!G71</f>
        <v>0.3</v>
      </c>
      <c r="G68" s="36">
        <f>'FOUND DATA - AVERAGE GRADES'!H71</f>
        <v>2</v>
      </c>
      <c r="H68" s="35">
        <f>'FOUND DATA - AVERAGE GRADES'!I71</f>
        <v>0.5</v>
      </c>
      <c r="I68" s="36">
        <f>'FOUND DATA - AVERAGE GRADES'!J71</f>
        <v>10</v>
      </c>
      <c r="J68" s="35">
        <f>'FOUND DATA - AVERAGE GRADES'!K71</f>
        <v>0.1</v>
      </c>
      <c r="K68" s="35">
        <f>'FOUND DATA - AVERAGE GRADES'!L71</f>
        <v>0.1</v>
      </c>
    </row>
    <row r="69">
      <c r="A69" s="36">
        <f>'FOUND DATA - AVERAGE GRADES'!B72</f>
        <v>12</v>
      </c>
      <c r="B69" s="35">
        <f>'FOUND DATA - AVERAGE GRADES'!C72</f>
        <v>0.1</v>
      </c>
      <c r="C69" s="36">
        <f>'FOUND DATA - AVERAGE GRADES'!D72</f>
        <v>3</v>
      </c>
      <c r="D69" s="35">
        <f>'FOUND DATA - AVERAGE GRADES'!E72</f>
        <v>0.15</v>
      </c>
      <c r="E69" s="36">
        <f>'FOUND DATA - AVERAGE GRADES'!F72</f>
        <v>1</v>
      </c>
      <c r="F69" s="35">
        <f>'FOUND DATA - AVERAGE GRADES'!G72</f>
        <v>0.25</v>
      </c>
      <c r="G69" s="36">
        <f>'FOUND DATA - AVERAGE GRADES'!H72</f>
        <v>2</v>
      </c>
      <c r="H69" s="35">
        <f>'FOUND DATA - AVERAGE GRADES'!I72</f>
        <v>0.4</v>
      </c>
      <c r="I69" s="36">
        <f>'FOUND DATA - AVERAGE GRADES'!J72</f>
        <v>12</v>
      </c>
      <c r="J69" s="35">
        <f>'FOUND DATA - AVERAGE GRADES'!K72</f>
        <v>0.05</v>
      </c>
      <c r="K69" s="35">
        <f>'FOUND DATA - AVERAGE GRADES'!L72</f>
        <v>0.05</v>
      </c>
    </row>
    <row r="70">
      <c r="A70" s="36">
        <f>'FOUND DATA - AVERAGE GRADES'!B73</f>
        <v>12</v>
      </c>
      <c r="B70" s="35">
        <f>'FOUND DATA - AVERAGE GRADES'!C73</f>
        <v>0.2</v>
      </c>
      <c r="C70" s="36">
        <f>'FOUND DATA - AVERAGE GRADES'!D73</f>
        <v>0</v>
      </c>
      <c r="D70" s="35">
        <f>'FOUND DATA - AVERAGE GRADES'!E73</f>
        <v>0</v>
      </c>
      <c r="E70" s="36">
        <f>'FOUND DATA - AVERAGE GRADES'!F73</f>
        <v>1</v>
      </c>
      <c r="F70" s="35">
        <f>'FOUND DATA - AVERAGE GRADES'!G73</f>
        <v>0.35</v>
      </c>
      <c r="G70" s="36">
        <f>'FOUND DATA - AVERAGE GRADES'!H73</f>
        <v>3</v>
      </c>
      <c r="H70" s="35">
        <f>'FOUND DATA - AVERAGE GRADES'!I73</f>
        <v>0.45</v>
      </c>
      <c r="I70" s="36">
        <f>'FOUND DATA - AVERAGE GRADES'!J73</f>
        <v>0</v>
      </c>
      <c r="J70" s="35">
        <f>'FOUND DATA - AVERAGE GRADES'!K73</f>
        <v>0</v>
      </c>
      <c r="K70" s="35">
        <f>'FOUND DATA - AVERAGE GRADES'!L73</f>
        <v>0</v>
      </c>
    </row>
    <row r="71">
      <c r="A71" s="36">
        <f>'FOUND DATA - AVERAGE GRADES'!B74</f>
        <v>0</v>
      </c>
      <c r="B71" s="35">
        <f>'FOUND DATA - AVERAGE GRADES'!C74</f>
        <v>0</v>
      </c>
      <c r="C71" s="36">
        <f>'FOUND DATA - AVERAGE GRADES'!D74</f>
        <v>0</v>
      </c>
      <c r="D71" s="35">
        <f>'FOUND DATA - AVERAGE GRADES'!E74</f>
        <v>0</v>
      </c>
      <c r="E71" s="36">
        <f>'FOUND DATA - AVERAGE GRADES'!F74</f>
        <v>1</v>
      </c>
      <c r="F71" s="35">
        <f>'FOUND DATA - AVERAGE GRADES'!G74</f>
        <v>0.3</v>
      </c>
      <c r="G71" s="36">
        <f>'FOUND DATA - AVERAGE GRADES'!H74</f>
        <v>2</v>
      </c>
      <c r="H71" s="35">
        <f>'FOUND DATA - AVERAGE GRADES'!I74</f>
        <v>0.5</v>
      </c>
      <c r="I71" s="36">
        <f>'FOUND DATA - AVERAGE GRADES'!J74</f>
        <v>12</v>
      </c>
      <c r="J71" s="35">
        <f>'FOUND DATA - AVERAGE GRADES'!K74</f>
        <v>0.2</v>
      </c>
      <c r="K71" s="35">
        <f>'FOUND DATA - AVERAGE GRADES'!L74</f>
        <v>0</v>
      </c>
    </row>
    <row r="72">
      <c r="A72" s="36">
        <f>'FOUND DATA - AVERAGE GRADES'!B75</f>
        <v>11</v>
      </c>
      <c r="B72" s="35">
        <f>'FOUND DATA - AVERAGE GRADES'!C75</f>
        <v>0.1</v>
      </c>
      <c r="C72" s="36">
        <f>'FOUND DATA - AVERAGE GRADES'!D75</f>
        <v>0</v>
      </c>
      <c r="D72" s="35">
        <f>'FOUND DATA - AVERAGE GRADES'!E75</f>
        <v>0</v>
      </c>
      <c r="E72" s="36">
        <f>'FOUND DATA - AVERAGE GRADES'!F75</f>
        <v>1</v>
      </c>
      <c r="F72" s="35">
        <f>'FOUND DATA - AVERAGE GRADES'!G75</f>
        <v>0.3</v>
      </c>
      <c r="G72" s="36">
        <f>'FOUND DATA - AVERAGE GRADES'!H75</f>
        <v>3</v>
      </c>
      <c r="H72" s="35">
        <f>'FOUND DATA - AVERAGE GRADES'!I75</f>
        <v>0.5</v>
      </c>
      <c r="I72" s="36">
        <f>'FOUND DATA - AVERAGE GRADES'!J75</f>
        <v>9</v>
      </c>
      <c r="J72" s="35">
        <f>'FOUND DATA - AVERAGE GRADES'!K75</f>
        <v>0.1</v>
      </c>
      <c r="K72" s="35">
        <f>'FOUND DATA - AVERAGE GRADES'!L75</f>
        <v>0</v>
      </c>
    </row>
    <row r="73">
      <c r="A73" s="36">
        <f>'FOUND DATA - AVERAGE GRADES'!B76</f>
        <v>21</v>
      </c>
      <c r="B73" s="35">
        <f>'FOUND DATA - AVERAGE GRADES'!C76</f>
        <v>0.4</v>
      </c>
      <c r="C73" s="36">
        <f>'FOUND DATA - AVERAGE GRADES'!D76</f>
        <v>0</v>
      </c>
      <c r="D73" s="35">
        <f>'FOUND DATA - AVERAGE GRADES'!E76</f>
        <v>0</v>
      </c>
      <c r="E73" s="36">
        <f>'FOUND DATA - AVERAGE GRADES'!F76</f>
        <v>0</v>
      </c>
      <c r="F73" s="35">
        <f>'FOUND DATA - AVERAGE GRADES'!G76</f>
        <v>0</v>
      </c>
      <c r="G73" s="36">
        <f>'FOUND DATA - AVERAGE GRADES'!H76</f>
        <v>3</v>
      </c>
      <c r="H73" s="35">
        <f>'FOUND DATA - AVERAGE GRADES'!I76</f>
        <v>0.55</v>
      </c>
      <c r="I73" s="36">
        <f>'FOUND DATA - AVERAGE GRADES'!J76</f>
        <v>0</v>
      </c>
      <c r="J73" s="35">
        <f>'FOUND DATA - AVERAGE GRADES'!K76</f>
        <v>0</v>
      </c>
      <c r="K73" s="35">
        <f>'FOUND DATA - AVERAGE GRADES'!L76</f>
        <v>0.05</v>
      </c>
    </row>
    <row r="74">
      <c r="A74" s="36">
        <f>'FOUND DATA - AVERAGE GRADES'!B77</f>
        <v>9</v>
      </c>
      <c r="B74" s="35">
        <f>'FOUND DATA - AVERAGE GRADES'!C77</f>
        <v>0.1</v>
      </c>
      <c r="C74" s="36">
        <f>'FOUND DATA - AVERAGE GRADES'!D77</f>
        <v>0</v>
      </c>
      <c r="D74" s="35">
        <f>'FOUND DATA - AVERAGE GRADES'!E77</f>
        <v>0</v>
      </c>
      <c r="E74" s="36">
        <f>'FOUND DATA - AVERAGE GRADES'!F77</f>
        <v>1</v>
      </c>
      <c r="F74" s="35">
        <f>'FOUND DATA - AVERAGE GRADES'!G77</f>
        <v>0.4</v>
      </c>
      <c r="G74" s="36">
        <f>'FOUND DATA - AVERAGE GRADES'!H77</f>
        <v>2</v>
      </c>
      <c r="H74" s="35">
        <f>'FOUND DATA - AVERAGE GRADES'!I77</f>
        <v>0.45</v>
      </c>
      <c r="I74" s="36">
        <f>'FOUND DATA - AVERAGE GRADES'!J77</f>
        <v>0</v>
      </c>
      <c r="J74" s="35">
        <f>'FOUND DATA - AVERAGE GRADES'!K77</f>
        <v>0</v>
      </c>
      <c r="K74" s="35">
        <f>'FOUND DATA - AVERAGE GRADES'!L77</f>
        <v>0.05</v>
      </c>
    </row>
    <row r="75">
      <c r="A75" s="36">
        <f>'FOUND DATA - AVERAGE GRADES'!B78</f>
        <v>12</v>
      </c>
      <c r="B75" s="35">
        <f>'FOUND DATA - AVERAGE GRADES'!C78</f>
        <v>0.1</v>
      </c>
      <c r="C75" s="36">
        <f>'FOUND DATA - AVERAGE GRADES'!D78</f>
        <v>3</v>
      </c>
      <c r="D75" s="35">
        <f>'FOUND DATA - AVERAGE GRADES'!E78</f>
        <v>0.15</v>
      </c>
      <c r="E75" s="36">
        <f>'FOUND DATA - AVERAGE GRADES'!F78</f>
        <v>1</v>
      </c>
      <c r="F75" s="35">
        <f>'FOUND DATA - AVERAGE GRADES'!G78</f>
        <v>0.25</v>
      </c>
      <c r="G75" s="36">
        <f>'FOUND DATA - AVERAGE GRADES'!H78</f>
        <v>2</v>
      </c>
      <c r="H75" s="35">
        <f>'FOUND DATA - AVERAGE GRADES'!I78</f>
        <v>0.4</v>
      </c>
      <c r="I75" s="36">
        <f>'FOUND DATA - AVERAGE GRADES'!J78</f>
        <v>12</v>
      </c>
      <c r="J75" s="35">
        <f>'FOUND DATA - AVERAGE GRADES'!K78</f>
        <v>0.05</v>
      </c>
      <c r="K75" s="35">
        <f>'FOUND DATA - AVERAGE GRADES'!L78</f>
        <v>0.05</v>
      </c>
    </row>
    <row r="76">
      <c r="A76" s="36">
        <f>'FOUND DATA - AVERAGE GRADES'!B79</f>
        <v>21</v>
      </c>
      <c r="B76" s="35">
        <f>'FOUND DATA - AVERAGE GRADES'!C79</f>
        <v>0.4</v>
      </c>
      <c r="C76" s="36">
        <f>'FOUND DATA - AVERAGE GRADES'!D79</f>
        <v>0</v>
      </c>
      <c r="D76" s="35">
        <f>'FOUND DATA - AVERAGE GRADES'!E79</f>
        <v>0</v>
      </c>
      <c r="E76" s="36">
        <f>'FOUND DATA - AVERAGE GRADES'!F79</f>
        <v>0</v>
      </c>
      <c r="F76" s="35">
        <f>'FOUND DATA - AVERAGE GRADES'!G79</f>
        <v>0</v>
      </c>
      <c r="G76" s="36">
        <f>'FOUND DATA - AVERAGE GRADES'!H79</f>
        <v>3</v>
      </c>
      <c r="H76" s="35">
        <f>'FOUND DATA - AVERAGE GRADES'!I79</f>
        <v>0.55</v>
      </c>
      <c r="I76" s="36">
        <f>'FOUND DATA - AVERAGE GRADES'!J79</f>
        <v>0</v>
      </c>
      <c r="J76" s="35">
        <f>'FOUND DATA - AVERAGE GRADES'!K79</f>
        <v>0</v>
      </c>
      <c r="K76" s="35">
        <f>'FOUND DATA - AVERAGE GRADES'!L79</f>
        <v>0.05</v>
      </c>
    </row>
    <row r="77">
      <c r="A77" s="36">
        <f>'FOUND DATA - AVERAGE GRADES'!B80</f>
        <v>12</v>
      </c>
      <c r="B77" s="35">
        <f>'FOUND DATA - AVERAGE GRADES'!C80</f>
        <v>0.15</v>
      </c>
      <c r="C77" s="36">
        <f>'FOUND DATA - AVERAGE GRADES'!D80</f>
        <v>0</v>
      </c>
      <c r="D77" s="35">
        <f>'FOUND DATA - AVERAGE GRADES'!E80</f>
        <v>0</v>
      </c>
      <c r="E77" s="36">
        <f>'FOUND DATA - AVERAGE GRADES'!F80</f>
        <v>1</v>
      </c>
      <c r="F77" s="35">
        <f>'FOUND DATA - AVERAGE GRADES'!G80</f>
        <v>0.35</v>
      </c>
      <c r="G77" s="36">
        <f>'FOUND DATA - AVERAGE GRADES'!H80</f>
        <v>3</v>
      </c>
      <c r="H77" s="35">
        <f>'FOUND DATA - AVERAGE GRADES'!I80</f>
        <v>0.45</v>
      </c>
      <c r="I77" s="36">
        <f>'FOUND DATA - AVERAGE GRADES'!J80</f>
        <v>0</v>
      </c>
      <c r="J77" s="35">
        <f>'FOUND DATA - AVERAGE GRADES'!K80</f>
        <v>0</v>
      </c>
      <c r="K77" s="35">
        <f>'FOUND DATA - AVERAGE GRADES'!L80</f>
        <v>0.05</v>
      </c>
    </row>
    <row r="78">
      <c r="A78" s="36">
        <f>'FOUND DATA - AVERAGE GRADES'!B81</f>
        <v>10</v>
      </c>
      <c r="B78" s="35">
        <f>'FOUND DATA - AVERAGE GRADES'!C81</f>
        <v>0.15</v>
      </c>
      <c r="C78" s="36">
        <f>'FOUND DATA - AVERAGE GRADES'!D81</f>
        <v>0</v>
      </c>
      <c r="D78" s="35">
        <f>'FOUND DATA - AVERAGE GRADES'!E81</f>
        <v>0</v>
      </c>
      <c r="E78" s="36">
        <f>'FOUND DATA - AVERAGE GRADES'!F81</f>
        <v>1</v>
      </c>
      <c r="F78" s="35">
        <f>'FOUND DATA - AVERAGE GRADES'!G81</f>
        <v>0.3</v>
      </c>
      <c r="G78" s="36">
        <f>'FOUND DATA - AVERAGE GRADES'!H81</f>
        <v>2</v>
      </c>
      <c r="H78" s="35">
        <f>'FOUND DATA - AVERAGE GRADES'!I81</f>
        <v>0.4</v>
      </c>
      <c r="I78" s="36">
        <f>'FOUND DATA - AVERAGE GRADES'!J81</f>
        <v>3</v>
      </c>
      <c r="J78" s="35">
        <f>'FOUND DATA - AVERAGE GRADES'!K81</f>
        <v>0.15</v>
      </c>
      <c r="K78" s="35">
        <f>'FOUND DATA - AVERAGE GRADES'!L81</f>
        <v>0</v>
      </c>
    </row>
    <row r="79">
      <c r="A79" s="36">
        <f>'FOUND DATA - AVERAGE GRADES'!B82</f>
        <v>10</v>
      </c>
      <c r="B79" s="35">
        <f>'FOUND DATA - AVERAGE GRADES'!C82</f>
        <v>0.1</v>
      </c>
      <c r="C79" s="36">
        <f>'FOUND DATA - AVERAGE GRADES'!D82</f>
        <v>0</v>
      </c>
      <c r="D79" s="35">
        <f>'FOUND DATA - AVERAGE GRADES'!E82</f>
        <v>0</v>
      </c>
      <c r="E79" s="36">
        <f>'FOUND DATA - AVERAGE GRADES'!F82</f>
        <v>1</v>
      </c>
      <c r="F79" s="35">
        <f>'FOUND DATA - AVERAGE GRADES'!G82</f>
        <v>0.35</v>
      </c>
      <c r="G79" s="36">
        <f>'FOUND DATA - AVERAGE GRADES'!H82</f>
        <v>2</v>
      </c>
      <c r="H79" s="35">
        <f>'FOUND DATA - AVERAGE GRADES'!I82</f>
        <v>0.4</v>
      </c>
      <c r="I79" s="36">
        <f>'FOUND DATA - AVERAGE GRADES'!J82</f>
        <v>4</v>
      </c>
      <c r="J79" s="35">
        <f>'FOUND DATA - AVERAGE GRADES'!K82</f>
        <v>0.1</v>
      </c>
      <c r="K79" s="35">
        <f>'FOUND DATA - AVERAGE GRADES'!L82</f>
        <v>0.05</v>
      </c>
    </row>
    <row r="80">
      <c r="A80" s="36">
        <f>'FOUND DATA - AVERAGE GRADES'!B83</f>
        <v>38</v>
      </c>
      <c r="B80" s="35">
        <f>'FOUND DATA - AVERAGE GRADES'!C83</f>
        <v>0.49</v>
      </c>
      <c r="C80" s="36">
        <f>'FOUND DATA - AVERAGE GRADES'!D83</f>
        <v>2</v>
      </c>
      <c r="D80" s="35">
        <f>'FOUND DATA - AVERAGE GRADES'!E83</f>
        <v>0.51</v>
      </c>
      <c r="E80" s="36">
        <f>'FOUND DATA - AVERAGE GRADES'!F83</f>
        <v>0</v>
      </c>
      <c r="F80" s="35">
        <f>'FOUND DATA - AVERAGE GRADES'!G83</f>
        <v>0</v>
      </c>
      <c r="G80" s="36">
        <f>'FOUND DATA - AVERAGE GRADES'!H83</f>
        <v>0</v>
      </c>
      <c r="H80" s="35">
        <f>'FOUND DATA - AVERAGE GRADES'!I83</f>
        <v>0</v>
      </c>
      <c r="I80" s="36">
        <f>'FOUND DATA - AVERAGE GRADES'!J83</f>
        <v>0</v>
      </c>
      <c r="J80" s="35">
        <f>'FOUND DATA - AVERAGE GRADES'!K83</f>
        <v>0</v>
      </c>
      <c r="K80" s="35">
        <f>'FOUND DATA - AVERAGE GRADES'!L83</f>
        <v>0</v>
      </c>
    </row>
    <row r="81">
      <c r="A81" s="36">
        <f>'FOUND DATA - AVERAGE GRADES'!B84</f>
        <v>6</v>
      </c>
      <c r="B81" s="35">
        <f>'FOUND DATA - AVERAGE GRADES'!C84</f>
        <v>0.15</v>
      </c>
      <c r="C81" s="36">
        <f>'FOUND DATA - AVERAGE GRADES'!D84</f>
        <v>2</v>
      </c>
      <c r="D81" s="35">
        <f>'FOUND DATA - AVERAGE GRADES'!E84</f>
        <v>0.25</v>
      </c>
      <c r="E81" s="36">
        <f>'FOUND DATA - AVERAGE GRADES'!F84</f>
        <v>0</v>
      </c>
      <c r="F81" s="35">
        <f>'FOUND DATA - AVERAGE GRADES'!G84</f>
        <v>0</v>
      </c>
      <c r="G81" s="36">
        <f>'FOUND DATA - AVERAGE GRADES'!H84</f>
        <v>3</v>
      </c>
      <c r="H81" s="35">
        <f>'FOUND DATA - AVERAGE GRADES'!I84</f>
        <v>0.6</v>
      </c>
      <c r="I81" s="36">
        <f>'FOUND DATA - AVERAGE GRADES'!J84</f>
        <v>0</v>
      </c>
      <c r="J81" s="35">
        <f>'FOUND DATA - AVERAGE GRADES'!K84</f>
        <v>0</v>
      </c>
      <c r="K81" s="35">
        <f>'FOUND DATA - AVERAGE GRADES'!L84</f>
        <v>0</v>
      </c>
    </row>
    <row r="82">
      <c r="A82" s="36">
        <f>'FOUND DATA - AVERAGE GRADES'!B85</f>
        <v>5</v>
      </c>
      <c r="B82" s="35">
        <f>'FOUND DATA - AVERAGE GRADES'!C85</f>
        <v>0.3</v>
      </c>
      <c r="C82" s="36">
        <f>'FOUND DATA - AVERAGE GRADES'!D85</f>
        <v>4</v>
      </c>
      <c r="D82" s="35">
        <f>'FOUND DATA - AVERAGE GRADES'!E85</f>
        <v>0.45</v>
      </c>
      <c r="E82" s="36">
        <f>'FOUND DATA - AVERAGE GRADES'!F85</f>
        <v>0</v>
      </c>
      <c r="F82" s="35">
        <f>'FOUND DATA - AVERAGE GRADES'!G85</f>
        <v>0</v>
      </c>
      <c r="G82" s="36">
        <f>'FOUND DATA - AVERAGE GRADES'!H85</f>
        <v>0</v>
      </c>
      <c r="H82" s="35">
        <f>'FOUND DATA - AVERAGE GRADES'!I85</f>
        <v>0</v>
      </c>
      <c r="I82" s="36">
        <f>'FOUND DATA - AVERAGE GRADES'!J85</f>
        <v>4</v>
      </c>
      <c r="J82" s="35">
        <f>'FOUND DATA - AVERAGE GRADES'!K85</f>
        <v>0.15</v>
      </c>
      <c r="K82" s="35">
        <f>'FOUND DATA - AVERAGE GRADES'!L85</f>
        <v>0.1</v>
      </c>
    </row>
    <row r="83">
      <c r="A83" s="36">
        <f>'FOUND DATA - AVERAGE GRADES'!B86</f>
        <v>0</v>
      </c>
      <c r="B83" s="35">
        <f>'FOUND DATA - AVERAGE GRADES'!C86</f>
        <v>0</v>
      </c>
      <c r="C83" s="36">
        <f>'FOUND DATA - AVERAGE GRADES'!D86</f>
        <v>3</v>
      </c>
      <c r="D83" s="35">
        <f>'FOUND DATA - AVERAGE GRADES'!E86</f>
        <v>1</v>
      </c>
      <c r="E83" s="36">
        <f>'FOUND DATA - AVERAGE GRADES'!F86</f>
        <v>0</v>
      </c>
      <c r="F83" s="35">
        <f>'FOUND DATA - AVERAGE GRADES'!G86</f>
        <v>0</v>
      </c>
      <c r="G83" s="36">
        <f>'FOUND DATA - AVERAGE GRADES'!H86</f>
        <v>0</v>
      </c>
      <c r="H83" s="35">
        <f>'FOUND DATA - AVERAGE GRADES'!I86</f>
        <v>0</v>
      </c>
      <c r="I83" s="36">
        <f>'FOUND DATA - AVERAGE GRADES'!J86</f>
        <v>0</v>
      </c>
      <c r="J83" s="35">
        <f>'FOUND DATA - AVERAGE GRADES'!K86</f>
        <v>0</v>
      </c>
      <c r="K83" s="35">
        <f>'FOUND DATA - AVERAGE GRADES'!L86</f>
        <v>0</v>
      </c>
    </row>
    <row r="84">
      <c r="A84" s="36">
        <f>'FOUND DATA - AVERAGE GRADES'!B87</f>
        <v>12</v>
      </c>
      <c r="B84" s="35">
        <f>'FOUND DATA - AVERAGE GRADES'!C87</f>
        <v>0.2</v>
      </c>
      <c r="C84" s="36">
        <f>'FOUND DATA - AVERAGE GRADES'!D87</f>
        <v>1</v>
      </c>
      <c r="D84" s="35">
        <f>'FOUND DATA - AVERAGE GRADES'!E87</f>
        <v>0.35</v>
      </c>
      <c r="E84" s="36">
        <f>'FOUND DATA - AVERAGE GRADES'!F87</f>
        <v>0</v>
      </c>
      <c r="F84" s="35">
        <f>'FOUND DATA - AVERAGE GRADES'!G87</f>
        <v>0</v>
      </c>
      <c r="G84" s="36">
        <f>'FOUND DATA - AVERAGE GRADES'!H87</f>
        <v>0</v>
      </c>
      <c r="H84" s="35">
        <f>'FOUND DATA - AVERAGE GRADES'!I87</f>
        <v>0</v>
      </c>
      <c r="I84" s="36">
        <f>'FOUND DATA - AVERAGE GRADES'!J87</f>
        <v>2</v>
      </c>
      <c r="J84" s="35">
        <f>'FOUND DATA - AVERAGE GRADES'!K87</f>
        <v>0.4</v>
      </c>
      <c r="K84" s="35">
        <f>'FOUND DATA - AVERAGE GRADES'!L87</f>
        <v>0.05</v>
      </c>
    </row>
    <row r="85">
      <c r="A85" s="36">
        <f>'FOUND DATA - AVERAGE GRADES'!B88</f>
        <v>4</v>
      </c>
      <c r="B85" s="35">
        <f>'FOUND DATA - AVERAGE GRADES'!C88</f>
        <v>0.4</v>
      </c>
      <c r="C85" s="36">
        <f>'FOUND DATA - AVERAGE GRADES'!D88</f>
        <v>1</v>
      </c>
      <c r="D85" s="35">
        <f>'FOUND DATA - AVERAGE GRADES'!E88</f>
        <v>0.2</v>
      </c>
      <c r="E85" s="36">
        <f>'FOUND DATA - AVERAGE GRADES'!F88</f>
        <v>0</v>
      </c>
      <c r="F85" s="35">
        <f>'FOUND DATA - AVERAGE GRADES'!G88</f>
        <v>0</v>
      </c>
      <c r="G85" s="36">
        <f>'FOUND DATA - AVERAGE GRADES'!H88</f>
        <v>2</v>
      </c>
      <c r="H85" s="35">
        <f>'FOUND DATA - AVERAGE GRADES'!I88</f>
        <v>0.4</v>
      </c>
      <c r="I85" s="36">
        <f>'FOUND DATA - AVERAGE GRADES'!J88</f>
        <v>0</v>
      </c>
      <c r="J85" s="35">
        <f>'FOUND DATA - AVERAGE GRADES'!K88</f>
        <v>0</v>
      </c>
      <c r="K85" s="35">
        <f>'FOUND DATA - AVERAGE GRADES'!L88</f>
        <v>0</v>
      </c>
    </row>
    <row r="86">
      <c r="A86" s="36">
        <f>'FOUND DATA - AVERAGE GRADES'!B89</f>
        <v>12</v>
      </c>
      <c r="B86" s="35">
        <f>'FOUND DATA - AVERAGE GRADES'!C89</f>
        <v>0.2</v>
      </c>
      <c r="C86" s="36">
        <f>'FOUND DATA - AVERAGE GRADES'!D89</f>
        <v>1</v>
      </c>
      <c r="D86" s="35">
        <f>'FOUND DATA - AVERAGE GRADES'!E89</f>
        <v>0.3</v>
      </c>
      <c r="E86" s="36">
        <f>'FOUND DATA - AVERAGE GRADES'!F89</f>
        <v>0</v>
      </c>
      <c r="F86" s="35">
        <f>'FOUND DATA - AVERAGE GRADES'!G89</f>
        <v>0</v>
      </c>
      <c r="G86" s="36">
        <f>'FOUND DATA - AVERAGE GRADES'!H89</f>
        <v>2</v>
      </c>
      <c r="H86" s="35">
        <f>'FOUND DATA - AVERAGE GRADES'!I89</f>
        <v>0.5</v>
      </c>
      <c r="I86" s="36">
        <f>'FOUND DATA - AVERAGE GRADES'!J89</f>
        <v>0</v>
      </c>
      <c r="J86" s="35">
        <f>'FOUND DATA - AVERAGE GRADES'!K89</f>
        <v>0</v>
      </c>
      <c r="K86" s="35">
        <f>'FOUND DATA - AVERAGE GRADES'!L89</f>
        <v>0</v>
      </c>
    </row>
    <row r="87">
      <c r="A87" s="36">
        <f>'FOUND DATA - AVERAGE GRADES'!B90</f>
        <v>12</v>
      </c>
      <c r="B87" s="35">
        <f>'FOUND DATA - AVERAGE GRADES'!C90</f>
        <v>0.15</v>
      </c>
      <c r="C87" s="36">
        <f>'FOUND DATA - AVERAGE GRADES'!D90</f>
        <v>0</v>
      </c>
      <c r="D87" s="35">
        <f>'FOUND DATA - AVERAGE GRADES'!E90</f>
        <v>0</v>
      </c>
      <c r="E87" s="36">
        <f>'FOUND DATA - AVERAGE GRADES'!F90</f>
        <v>1</v>
      </c>
      <c r="F87" s="35">
        <f>'FOUND DATA - AVERAGE GRADES'!G90</f>
        <v>0.2</v>
      </c>
      <c r="G87" s="36">
        <f>'FOUND DATA - AVERAGE GRADES'!H90</f>
        <v>3</v>
      </c>
      <c r="H87" s="35">
        <f>'FOUND DATA - AVERAGE GRADES'!I90</f>
        <v>0.6</v>
      </c>
      <c r="I87" s="36">
        <f>'FOUND DATA - AVERAGE GRADES'!J90</f>
        <v>21</v>
      </c>
      <c r="J87" s="35">
        <f>'FOUND DATA - AVERAGE GRADES'!K90</f>
        <v>0.05</v>
      </c>
      <c r="K87" s="35">
        <f>'FOUND DATA - AVERAGE GRADES'!L90</f>
        <v>0</v>
      </c>
    </row>
    <row r="88">
      <c r="A88" s="36">
        <f>'FOUND DATA - AVERAGE GRADES'!B91</f>
        <v>14</v>
      </c>
      <c r="B88" s="35">
        <f>'FOUND DATA - AVERAGE GRADES'!C91</f>
        <v>0.2</v>
      </c>
      <c r="C88" s="36">
        <f>'FOUND DATA - AVERAGE GRADES'!D91</f>
        <v>1</v>
      </c>
      <c r="D88" s="35">
        <f>'FOUND DATA - AVERAGE GRADES'!E91</f>
        <v>0.1</v>
      </c>
      <c r="E88" s="36">
        <f>'FOUND DATA - AVERAGE GRADES'!F91</f>
        <v>1</v>
      </c>
      <c r="F88" s="35">
        <f>'FOUND DATA - AVERAGE GRADES'!G91</f>
        <v>0.3</v>
      </c>
      <c r="G88" s="36">
        <f>'FOUND DATA - AVERAGE GRADES'!H91</f>
        <v>2</v>
      </c>
      <c r="H88" s="35">
        <f>'FOUND DATA - AVERAGE GRADES'!I91</f>
        <v>0.35</v>
      </c>
      <c r="I88" s="36">
        <f>'FOUND DATA - AVERAGE GRADES'!J91</f>
        <v>0</v>
      </c>
      <c r="J88" s="35">
        <f>'FOUND DATA - AVERAGE GRADES'!K91</f>
        <v>0</v>
      </c>
      <c r="K88" s="35">
        <f>'FOUND DATA - AVERAGE GRADES'!L91</f>
        <v>0.05</v>
      </c>
    </row>
    <row r="89">
      <c r="A89" s="36">
        <f>'FOUND DATA - AVERAGE GRADES'!B92</f>
        <v>13</v>
      </c>
      <c r="B89" s="35">
        <f>'FOUND DATA - AVERAGE GRADES'!C92</f>
        <v>0.2</v>
      </c>
      <c r="C89" s="36">
        <f>'FOUND DATA - AVERAGE GRADES'!D92</f>
        <v>3</v>
      </c>
      <c r="D89" s="35">
        <f>'FOUND DATA - AVERAGE GRADES'!E92</f>
        <v>0.55</v>
      </c>
      <c r="E89" s="36">
        <f>'FOUND DATA - AVERAGE GRADES'!F92</f>
        <v>0</v>
      </c>
      <c r="F89" s="35">
        <f>'FOUND DATA - AVERAGE GRADES'!G92</f>
        <v>0</v>
      </c>
      <c r="G89" s="36">
        <f>'FOUND DATA - AVERAGE GRADES'!H92</f>
        <v>3</v>
      </c>
      <c r="H89" s="35">
        <f>'FOUND DATA - AVERAGE GRADES'!I92</f>
        <v>0.2</v>
      </c>
      <c r="I89" s="36">
        <f>'FOUND DATA - AVERAGE GRADES'!J92</f>
        <v>30</v>
      </c>
      <c r="J89" s="35">
        <f>'FOUND DATA - AVERAGE GRADES'!K92</f>
        <v>0.05</v>
      </c>
      <c r="K89" s="35">
        <f>'FOUND DATA - AVERAGE GRADES'!L92</f>
        <v>0</v>
      </c>
    </row>
    <row r="90">
      <c r="A90" s="36">
        <f>'FOUND DATA - AVERAGE GRADES'!B93</f>
        <v>8</v>
      </c>
      <c r="B90" s="35">
        <f>'FOUND DATA - AVERAGE GRADES'!C93</f>
        <v>0.14</v>
      </c>
      <c r="C90" s="36">
        <f>'FOUND DATA - AVERAGE GRADES'!D93</f>
        <v>0</v>
      </c>
      <c r="D90" s="35">
        <f>'FOUND DATA - AVERAGE GRADES'!E93</f>
        <v>0</v>
      </c>
      <c r="E90" s="36">
        <f>'FOUND DATA - AVERAGE GRADES'!F93</f>
        <v>1</v>
      </c>
      <c r="F90" s="35">
        <f>'FOUND DATA - AVERAGE GRADES'!G93</f>
        <v>0.25</v>
      </c>
      <c r="G90" s="36">
        <f>'FOUND DATA - AVERAGE GRADES'!H93</f>
        <v>3</v>
      </c>
      <c r="H90" s="35">
        <f>'FOUND DATA - AVERAGE GRADES'!I93</f>
        <v>0.45</v>
      </c>
      <c r="I90" s="36">
        <f>'FOUND DATA - AVERAGE GRADES'!J93</f>
        <v>0</v>
      </c>
      <c r="J90" s="35">
        <f>'FOUND DATA - AVERAGE GRADES'!K93</f>
        <v>0</v>
      </c>
      <c r="K90" s="35">
        <f>'FOUND DATA - AVERAGE GRADES'!L93</f>
        <v>0.16</v>
      </c>
    </row>
    <row r="91">
      <c r="A91" s="36">
        <f>'FOUND DATA - AVERAGE GRADES'!B94</f>
        <v>12</v>
      </c>
      <c r="B91" s="35">
        <f>'FOUND DATA - AVERAGE GRADES'!C94</f>
        <v>0.05</v>
      </c>
      <c r="C91" s="36">
        <f>'FOUND DATA - AVERAGE GRADES'!D94</f>
        <v>0</v>
      </c>
      <c r="D91" s="35">
        <f>'FOUND DATA - AVERAGE GRADES'!E94</f>
        <v>0</v>
      </c>
      <c r="E91" s="36">
        <f>'FOUND DATA - AVERAGE GRADES'!F94</f>
        <v>1</v>
      </c>
      <c r="F91" s="35">
        <f>'FOUND DATA - AVERAGE GRADES'!G94</f>
        <v>0.3</v>
      </c>
      <c r="G91" s="36">
        <f>'FOUND DATA - AVERAGE GRADES'!H94</f>
        <v>3</v>
      </c>
      <c r="H91" s="35">
        <f>'FOUND DATA - AVERAGE GRADES'!I94</f>
        <v>0.55</v>
      </c>
      <c r="I91" s="36">
        <f>'FOUND DATA - AVERAGE GRADES'!J94</f>
        <v>15</v>
      </c>
      <c r="J91" s="35">
        <f>'FOUND DATA - AVERAGE GRADES'!K94</f>
        <v>0.1</v>
      </c>
      <c r="K91" s="35">
        <f>'FOUND DATA - AVERAGE GRADES'!L94</f>
        <v>0</v>
      </c>
    </row>
    <row r="92">
      <c r="A92" s="36">
        <f>'FOUND DATA - AVERAGE GRADES'!B95</f>
        <v>9</v>
      </c>
      <c r="B92" s="35">
        <f>'FOUND DATA - AVERAGE GRADES'!C95</f>
        <v>0.27</v>
      </c>
      <c r="C92" s="36">
        <f>'FOUND DATA - AVERAGE GRADES'!D95</f>
        <v>5</v>
      </c>
      <c r="D92" s="35">
        <f>'FOUND DATA - AVERAGE GRADES'!E95</f>
        <v>0.49</v>
      </c>
      <c r="E92" s="36">
        <f>'FOUND DATA - AVERAGE GRADES'!F95</f>
        <v>0</v>
      </c>
      <c r="F92" s="35">
        <f>'FOUND DATA - AVERAGE GRADES'!G95</f>
        <v>0</v>
      </c>
      <c r="G92" s="36">
        <f>'FOUND DATA - AVERAGE GRADES'!H95</f>
        <v>0</v>
      </c>
      <c r="H92" s="35">
        <f>'FOUND DATA - AVERAGE GRADES'!I95</f>
        <v>0</v>
      </c>
      <c r="I92" s="36">
        <f>'FOUND DATA - AVERAGE GRADES'!J95</f>
        <v>5</v>
      </c>
      <c r="J92" s="35">
        <f>'FOUND DATA - AVERAGE GRADES'!K95</f>
        <v>0.15</v>
      </c>
      <c r="K92" s="35">
        <f>'FOUND DATA - AVERAGE GRADES'!L95</f>
        <v>0.09</v>
      </c>
    </row>
    <row r="93">
      <c r="A93" s="36">
        <f>'FOUND DATA - AVERAGE GRADES'!B96</f>
        <v>11</v>
      </c>
      <c r="B93" s="35">
        <f>'FOUND DATA - AVERAGE GRADES'!C96</f>
        <v>0.2</v>
      </c>
      <c r="C93" s="36">
        <f>'FOUND DATA - AVERAGE GRADES'!D96</f>
        <v>0</v>
      </c>
      <c r="D93" s="35">
        <f>'FOUND DATA - AVERAGE GRADES'!E96</f>
        <v>0</v>
      </c>
      <c r="E93" s="36">
        <f>'FOUND DATA - AVERAGE GRADES'!F96</f>
        <v>1</v>
      </c>
      <c r="F93" s="35">
        <f>'FOUND DATA - AVERAGE GRADES'!G96</f>
        <v>0.4</v>
      </c>
      <c r="G93" s="36">
        <f>'FOUND DATA - AVERAGE GRADES'!H96</f>
        <v>2</v>
      </c>
      <c r="H93" s="35">
        <f>'FOUND DATA - AVERAGE GRADES'!I96</f>
        <v>0.4</v>
      </c>
      <c r="I93" s="36">
        <f>'FOUND DATA - AVERAGE GRADES'!J96</f>
        <v>0</v>
      </c>
      <c r="J93" s="35">
        <f>'FOUND DATA - AVERAGE GRADES'!K96</f>
        <v>0</v>
      </c>
      <c r="K93" s="35">
        <f>'FOUND DATA - AVERAGE GRADES'!L96</f>
        <v>0</v>
      </c>
    </row>
    <row r="94">
      <c r="A94" s="36">
        <f>'FOUND DATA - AVERAGE GRADES'!B97</f>
        <v>12</v>
      </c>
      <c r="B94" s="35">
        <f>'FOUND DATA - AVERAGE GRADES'!C97</f>
        <v>0.15</v>
      </c>
      <c r="C94" s="36">
        <f>'FOUND DATA - AVERAGE GRADES'!D97</f>
        <v>3</v>
      </c>
      <c r="D94" s="35">
        <f>'FOUND DATA - AVERAGE GRADES'!E97</f>
        <v>0.15</v>
      </c>
      <c r="E94" s="36">
        <f>'FOUND DATA - AVERAGE GRADES'!F97</f>
        <v>1</v>
      </c>
      <c r="F94" s="35">
        <f>'FOUND DATA - AVERAGE GRADES'!G97</f>
        <v>0.25</v>
      </c>
      <c r="G94" s="36">
        <f>'FOUND DATA - AVERAGE GRADES'!H97</f>
        <v>3</v>
      </c>
      <c r="H94" s="35">
        <f>'FOUND DATA - AVERAGE GRADES'!I97</f>
        <v>0.4</v>
      </c>
      <c r="I94" s="36">
        <f>'FOUND DATA - AVERAGE GRADES'!J97</f>
        <v>15</v>
      </c>
      <c r="J94" s="35">
        <f>'FOUND DATA - AVERAGE GRADES'!K97</f>
        <v>0.05</v>
      </c>
      <c r="K94" s="35">
        <f>'FOUND DATA - AVERAGE GRADES'!L97</f>
        <v>0</v>
      </c>
    </row>
    <row r="95">
      <c r="A95" s="36">
        <f>'FOUND DATA - AVERAGE GRADES'!B98</f>
        <v>13</v>
      </c>
      <c r="B95" s="35">
        <f>'FOUND DATA - AVERAGE GRADES'!C98</f>
        <v>0.2</v>
      </c>
      <c r="C95" s="36">
        <f>'FOUND DATA - AVERAGE GRADES'!D98</f>
        <v>5</v>
      </c>
      <c r="D95" s="35">
        <f>'FOUND DATA - AVERAGE GRADES'!E98</f>
        <v>0.5</v>
      </c>
      <c r="E95" s="36">
        <f>'FOUND DATA - AVERAGE GRADES'!F98</f>
        <v>0</v>
      </c>
      <c r="F95" s="35">
        <f>'FOUND DATA - AVERAGE GRADES'!G98</f>
        <v>0</v>
      </c>
      <c r="G95" s="36">
        <f>'FOUND DATA - AVERAGE GRADES'!H98</f>
        <v>3</v>
      </c>
      <c r="H95" s="35">
        <f>'FOUND DATA - AVERAGE GRADES'!I98</f>
        <v>0.2</v>
      </c>
      <c r="I95" s="36">
        <f>'FOUND DATA - AVERAGE GRADES'!J98</f>
        <v>30</v>
      </c>
      <c r="J95" s="35">
        <f>'FOUND DATA - AVERAGE GRADES'!K98</f>
        <v>0.1</v>
      </c>
      <c r="K95" s="35">
        <f>'FOUND DATA - AVERAGE GRADES'!L98</f>
        <v>0</v>
      </c>
    </row>
    <row r="96">
      <c r="A96" s="36">
        <f>'FOUND DATA - AVERAGE GRADES'!B99</f>
        <v>13</v>
      </c>
      <c r="B96" s="35">
        <f>'FOUND DATA - AVERAGE GRADES'!C99</f>
        <v>0.1</v>
      </c>
      <c r="C96" s="36">
        <f>'FOUND DATA - AVERAGE GRADES'!D99</f>
        <v>0</v>
      </c>
      <c r="D96" s="35">
        <f>'FOUND DATA - AVERAGE GRADES'!E99</f>
        <v>0</v>
      </c>
      <c r="E96" s="36">
        <f>'FOUND DATA - AVERAGE GRADES'!F99</f>
        <v>1</v>
      </c>
      <c r="F96" s="35">
        <f>'FOUND DATA - AVERAGE GRADES'!G99</f>
        <v>0.25</v>
      </c>
      <c r="G96" s="36">
        <f>'FOUND DATA - AVERAGE GRADES'!H99</f>
        <v>2</v>
      </c>
      <c r="H96" s="35">
        <f>'FOUND DATA - AVERAGE GRADES'!I99</f>
        <v>0.5</v>
      </c>
      <c r="I96" s="36">
        <f>'FOUND DATA - AVERAGE GRADES'!J99</f>
        <v>11</v>
      </c>
      <c r="J96" s="35">
        <f>'FOUND DATA - AVERAGE GRADES'!K99</f>
        <v>0.1</v>
      </c>
      <c r="K96" s="35">
        <f>'FOUND DATA - AVERAGE GRADES'!L99</f>
        <v>0.05</v>
      </c>
    </row>
    <row r="97">
      <c r="A97" s="36">
        <f>'FOUND DATA - AVERAGE GRADES'!B100</f>
        <v>9</v>
      </c>
      <c r="B97" s="35">
        <f>'FOUND DATA - AVERAGE GRADES'!C100</f>
        <v>0.3</v>
      </c>
      <c r="C97" s="36">
        <f>'FOUND DATA - AVERAGE GRADES'!D100</f>
        <v>1</v>
      </c>
      <c r="D97" s="35">
        <f>'FOUND DATA - AVERAGE GRADES'!E100</f>
        <v>0.15</v>
      </c>
      <c r="E97" s="36">
        <f>'FOUND DATA - AVERAGE GRADES'!F100</f>
        <v>1</v>
      </c>
      <c r="F97" s="35">
        <f>'FOUND DATA - AVERAGE GRADES'!G100</f>
        <v>0.2</v>
      </c>
      <c r="G97" s="36">
        <f>'FOUND DATA - AVERAGE GRADES'!H100</f>
        <v>2</v>
      </c>
      <c r="H97" s="35">
        <f>'FOUND DATA - AVERAGE GRADES'!I100</f>
        <v>0.35</v>
      </c>
      <c r="I97" s="36">
        <f>'FOUND DATA - AVERAGE GRADES'!J100</f>
        <v>0</v>
      </c>
      <c r="J97" s="35">
        <f>'FOUND DATA - AVERAGE GRADES'!K100</f>
        <v>0</v>
      </c>
      <c r="K97" s="35">
        <f>'FOUND DATA - AVERAGE GRADES'!L100</f>
        <v>0</v>
      </c>
    </row>
    <row r="98">
      <c r="A98" s="36">
        <f>'FOUND DATA - AVERAGE GRADES'!B101</f>
        <v>9</v>
      </c>
      <c r="B98" s="35">
        <f>'FOUND DATA - AVERAGE GRADES'!C101</f>
        <v>0.3</v>
      </c>
      <c r="C98" s="36">
        <f>'FOUND DATA - AVERAGE GRADES'!D101</f>
        <v>1</v>
      </c>
      <c r="D98" s="35">
        <f>'FOUND DATA - AVERAGE GRADES'!E101</f>
        <v>0.15</v>
      </c>
      <c r="E98" s="36">
        <f>'FOUND DATA - AVERAGE GRADES'!F101</f>
        <v>1</v>
      </c>
      <c r="F98" s="35">
        <f>'FOUND DATA - AVERAGE GRADES'!G101</f>
        <v>0.2</v>
      </c>
      <c r="G98" s="36">
        <f>'FOUND DATA - AVERAGE GRADES'!H101</f>
        <v>2</v>
      </c>
      <c r="H98" s="35">
        <f>'FOUND DATA - AVERAGE GRADES'!I101</f>
        <v>0.35</v>
      </c>
      <c r="I98" s="36">
        <f>'FOUND DATA - AVERAGE GRADES'!J101</f>
        <v>0</v>
      </c>
      <c r="J98" s="35">
        <f>'FOUND DATA - AVERAGE GRADES'!K101</f>
        <v>0</v>
      </c>
      <c r="K98" s="35">
        <f>'FOUND DATA - AVERAGE GRADES'!L101</f>
        <v>0</v>
      </c>
    </row>
    <row r="99">
      <c r="A99" s="36">
        <f>'FOUND DATA - AVERAGE GRADES'!B102</f>
        <v>9</v>
      </c>
      <c r="B99" s="35">
        <f>'FOUND DATA - AVERAGE GRADES'!C102</f>
        <v>0.3</v>
      </c>
      <c r="C99" s="36">
        <f>'FOUND DATA - AVERAGE GRADES'!D102</f>
        <v>1</v>
      </c>
      <c r="D99" s="35">
        <f>'FOUND DATA - AVERAGE GRADES'!E102</f>
        <v>0.15</v>
      </c>
      <c r="E99" s="36">
        <f>'FOUND DATA - AVERAGE GRADES'!F102</f>
        <v>1</v>
      </c>
      <c r="F99" s="35">
        <f>'FOUND DATA - AVERAGE GRADES'!G102</f>
        <v>0.2</v>
      </c>
      <c r="G99" s="36">
        <f>'FOUND DATA - AVERAGE GRADES'!H102</f>
        <v>2</v>
      </c>
      <c r="H99" s="35">
        <f>'FOUND DATA - AVERAGE GRADES'!I102</f>
        <v>0.35</v>
      </c>
      <c r="I99" s="36">
        <f>'FOUND DATA - AVERAGE GRADES'!J102</f>
        <v>0</v>
      </c>
      <c r="J99" s="35">
        <f>'FOUND DATA - AVERAGE GRADES'!K102</f>
        <v>0</v>
      </c>
      <c r="K99" s="35">
        <f>'FOUND DATA - AVERAGE GRADES'!L102</f>
        <v>0</v>
      </c>
    </row>
    <row r="100">
      <c r="A100" s="36" t="str">
        <f>'FOUND DATA - AVERAGE GRADES'!B103</f>
        <v>END</v>
      </c>
      <c r="B100" s="35" t="str">
        <f>'FOUND DATA - AVERAGE GRADES'!C103</f>
        <v>END</v>
      </c>
      <c r="C100" s="35" t="str">
        <f>'FOUND DATA - AVERAGE GRADES'!D103</f>
        <v>END</v>
      </c>
      <c r="D100" s="35" t="str">
        <f>'FOUND DATA - AVERAGE GRADES'!E103</f>
        <v>END</v>
      </c>
      <c r="E100" s="35" t="str">
        <f>'FOUND DATA - AVERAGE GRADES'!F103</f>
        <v>END</v>
      </c>
      <c r="F100" s="35" t="str">
        <f>'FOUND DATA - AVERAGE GRADES'!G103</f>
        <v>END</v>
      </c>
      <c r="G100" s="35" t="str">
        <f>'FOUND DATA - AVERAGE GRADES'!H103</f>
        <v>END</v>
      </c>
      <c r="H100" s="35" t="str">
        <f>'FOUND DATA - AVERAGE GRADES'!I103</f>
        <v>END</v>
      </c>
      <c r="I100" s="35" t="str">
        <f>'FOUND DATA - AVERAGE GRADES'!J103</f>
        <v>END</v>
      </c>
      <c r="J100" s="35" t="str">
        <f>'FOUND DATA - AVERAGE GRADES'!K103</f>
        <v>END</v>
      </c>
      <c r="K100" s="35" t="str">
        <f>'FOUND DATA - AVERAGE GRADES'!L103</f>
        <v>END</v>
      </c>
    </row>
    <row r="101">
      <c r="A101" s="36" t="str">
        <f>'FOUND DATA - AVERAGE GRADES'!B104</f>
        <v/>
      </c>
      <c r="B101" s="35" t="str">
        <f>'FOUND DATA - AVERAGE GRADES'!C104</f>
        <v/>
      </c>
      <c r="C101" s="36" t="str">
        <f>'FOUND DATA - AVERAGE GRADES'!D104</f>
        <v/>
      </c>
      <c r="D101" s="35" t="str">
        <f>'FOUND DATA - AVERAGE GRADES'!E104</f>
        <v/>
      </c>
      <c r="E101" s="36" t="str">
        <f>'FOUND DATA - AVERAGE GRADES'!F104</f>
        <v/>
      </c>
      <c r="F101" s="35" t="str">
        <f>'FOUND DATA - AVERAGE GRADES'!G104</f>
        <v/>
      </c>
      <c r="G101" s="36" t="str">
        <f>'FOUND DATA - AVERAGE GRADES'!H104</f>
        <v/>
      </c>
      <c r="H101" s="35" t="str">
        <f>'FOUND DATA - AVERAGE GRADES'!I104</f>
        <v/>
      </c>
      <c r="I101" s="36" t="str">
        <f>'FOUND DATA - AVERAGE GRADES'!J104</f>
        <v/>
      </c>
      <c r="J101" s="35" t="str">
        <f>'FOUND DATA - AVERAGE GRADES'!K104</f>
        <v/>
      </c>
      <c r="K101" s="35" t="str">
        <f>'FOUND DATA - AVERAGE GRADES'!L104</f>
        <v/>
      </c>
    </row>
    <row r="102">
      <c r="A102" s="36" t="str">
        <f>'FOUND DATA - AVERAGE GRADES'!B105</f>
        <v/>
      </c>
      <c r="B102" s="35" t="str">
        <f>'FOUND DATA - AVERAGE GRADES'!C105</f>
        <v/>
      </c>
      <c r="C102" s="36" t="str">
        <f>'FOUND DATA - AVERAGE GRADES'!D105</f>
        <v/>
      </c>
      <c r="D102" s="35" t="str">
        <f>'FOUND DATA - AVERAGE GRADES'!E105</f>
        <v/>
      </c>
      <c r="E102" s="36" t="str">
        <f>'FOUND DATA - AVERAGE GRADES'!F105</f>
        <v/>
      </c>
      <c r="F102" s="35" t="str">
        <f>'FOUND DATA - AVERAGE GRADES'!G105</f>
        <v/>
      </c>
      <c r="G102" s="36" t="str">
        <f>'FOUND DATA - AVERAGE GRADES'!H105</f>
        <v/>
      </c>
      <c r="H102" s="35" t="str">
        <f>'FOUND DATA - AVERAGE GRADES'!I105</f>
        <v/>
      </c>
      <c r="I102" s="36" t="str">
        <f>'FOUND DATA - AVERAGE GRADES'!J105</f>
        <v/>
      </c>
      <c r="J102" s="35" t="str">
        <f>'FOUND DATA - AVERAGE GRADES'!K105</f>
        <v/>
      </c>
      <c r="K102" s="35" t="str">
        <f>'FOUND DATA - AVERAGE GRADES'!L105</f>
        <v/>
      </c>
    </row>
    <row r="103">
      <c r="A103" s="36" t="str">
        <f>'FOUND DATA - AVERAGE GRADES'!B106</f>
        <v/>
      </c>
      <c r="B103" s="35" t="str">
        <f>'FOUND DATA - AVERAGE GRADES'!C106</f>
        <v/>
      </c>
      <c r="C103" s="36" t="str">
        <f>'FOUND DATA - AVERAGE GRADES'!D106</f>
        <v/>
      </c>
      <c r="D103" s="35" t="str">
        <f>'FOUND DATA - AVERAGE GRADES'!E106</f>
        <v/>
      </c>
      <c r="E103" s="36" t="str">
        <f>'FOUND DATA - AVERAGE GRADES'!F106</f>
        <v/>
      </c>
      <c r="F103" s="35" t="str">
        <f>'FOUND DATA - AVERAGE GRADES'!G106</f>
        <v/>
      </c>
      <c r="G103" s="36" t="str">
        <f>'FOUND DATA - AVERAGE GRADES'!H106</f>
        <v/>
      </c>
      <c r="H103" s="35" t="str">
        <f>'FOUND DATA - AVERAGE GRADES'!I106</f>
        <v/>
      </c>
      <c r="I103" s="36" t="str">
        <f>'FOUND DATA - AVERAGE GRADES'!J106</f>
        <v/>
      </c>
      <c r="J103" s="35" t="str">
        <f>'FOUND DATA - AVERAGE GRADES'!K106</f>
        <v/>
      </c>
      <c r="K103" s="35" t="str">
        <f>'FOUND DATA - AVERAGE GRADES'!L106</f>
        <v/>
      </c>
    </row>
    <row r="104">
      <c r="A104" s="36" t="str">
        <f>'FOUND DATA - AVERAGE GRADES'!B107</f>
        <v/>
      </c>
      <c r="B104" s="35" t="str">
        <f>'FOUND DATA - AVERAGE GRADES'!C107</f>
        <v/>
      </c>
      <c r="C104" s="36" t="str">
        <f>'FOUND DATA - AVERAGE GRADES'!D107</f>
        <v/>
      </c>
      <c r="D104" s="35" t="str">
        <f>'FOUND DATA - AVERAGE GRADES'!E107</f>
        <v/>
      </c>
      <c r="E104" s="36" t="str">
        <f>'FOUND DATA - AVERAGE GRADES'!F107</f>
        <v/>
      </c>
      <c r="F104" s="35" t="str">
        <f>'FOUND DATA - AVERAGE GRADES'!G107</f>
        <v/>
      </c>
      <c r="G104" s="36" t="str">
        <f>'FOUND DATA - AVERAGE GRADES'!H107</f>
        <v/>
      </c>
      <c r="H104" s="35" t="str">
        <f>'FOUND DATA - AVERAGE GRADES'!I107</f>
        <v/>
      </c>
      <c r="I104" s="36" t="str">
        <f>'FOUND DATA - AVERAGE GRADES'!J107</f>
        <v/>
      </c>
      <c r="J104" s="35" t="str">
        <f>'FOUND DATA - AVERAGE GRADES'!K107</f>
        <v/>
      </c>
      <c r="K104" s="35" t="str">
        <f>'FOUND DATA - AVERAGE GRADES'!L107</f>
        <v/>
      </c>
    </row>
    <row r="105">
      <c r="A105" s="36" t="str">
        <f>'FOUND DATA - AVERAGE GRADES'!B108</f>
        <v/>
      </c>
      <c r="B105" s="35" t="str">
        <f>'FOUND DATA - AVERAGE GRADES'!C108</f>
        <v/>
      </c>
      <c r="C105" s="36" t="str">
        <f>'FOUND DATA - AVERAGE GRADES'!D108</f>
        <v/>
      </c>
      <c r="D105" s="35" t="str">
        <f>'FOUND DATA - AVERAGE GRADES'!E108</f>
        <v/>
      </c>
      <c r="E105" s="36" t="str">
        <f>'FOUND DATA - AVERAGE GRADES'!F108</f>
        <v/>
      </c>
      <c r="F105" s="35" t="str">
        <f>'FOUND DATA - AVERAGE GRADES'!G108</f>
        <v/>
      </c>
      <c r="G105" s="36" t="str">
        <f>'FOUND DATA - AVERAGE GRADES'!H108</f>
        <v/>
      </c>
      <c r="H105" s="35" t="str">
        <f>'FOUND DATA - AVERAGE GRADES'!I108</f>
        <v/>
      </c>
      <c r="I105" s="36" t="str">
        <f>'FOUND DATA - AVERAGE GRADES'!J108</f>
        <v/>
      </c>
      <c r="J105" s="35" t="str">
        <f>'FOUND DATA - AVERAGE GRADES'!K108</f>
        <v/>
      </c>
      <c r="K105" s="35" t="str">
        <f>'FOUND DATA - AVERAGE GRADES'!L108</f>
        <v/>
      </c>
    </row>
    <row r="106">
      <c r="A106" s="36" t="str">
        <f>'FOUND DATA - AVERAGE GRADES'!B109</f>
        <v/>
      </c>
      <c r="B106" s="35" t="str">
        <f>'FOUND DATA - AVERAGE GRADES'!C109</f>
        <v/>
      </c>
      <c r="C106" s="36" t="str">
        <f>'FOUND DATA - AVERAGE GRADES'!D109</f>
        <v/>
      </c>
      <c r="D106" s="35" t="str">
        <f>'FOUND DATA - AVERAGE GRADES'!E109</f>
        <v/>
      </c>
      <c r="E106" s="36" t="str">
        <f>'FOUND DATA - AVERAGE GRADES'!F109</f>
        <v/>
      </c>
      <c r="F106" s="35" t="str">
        <f>'FOUND DATA - AVERAGE GRADES'!G109</f>
        <v/>
      </c>
      <c r="G106" s="36" t="str">
        <f>'FOUND DATA - AVERAGE GRADES'!H109</f>
        <v/>
      </c>
      <c r="H106" s="35" t="str">
        <f>'FOUND DATA - AVERAGE GRADES'!I109</f>
        <v/>
      </c>
      <c r="I106" s="36" t="str">
        <f>'FOUND DATA - AVERAGE GRADES'!J109</f>
        <v/>
      </c>
      <c r="J106" s="35" t="str">
        <f>'FOUND DATA - AVERAGE GRADES'!K109</f>
        <v/>
      </c>
      <c r="K106" s="35" t="str">
        <f>'FOUND DATA - AVERAGE GRADES'!L109</f>
        <v/>
      </c>
    </row>
    <row r="107">
      <c r="A107" s="36" t="str">
        <f>'FOUND DATA - AVERAGE GRADES'!B110</f>
        <v/>
      </c>
      <c r="B107" s="35" t="str">
        <f>'FOUND DATA - AVERAGE GRADES'!C110</f>
        <v/>
      </c>
      <c r="C107" s="36" t="str">
        <f>'FOUND DATA - AVERAGE GRADES'!D110</f>
        <v/>
      </c>
      <c r="D107" s="35" t="str">
        <f>'FOUND DATA - AVERAGE GRADES'!E110</f>
        <v/>
      </c>
      <c r="E107" s="36" t="str">
        <f>'FOUND DATA - AVERAGE GRADES'!F110</f>
        <v/>
      </c>
      <c r="F107" s="35" t="str">
        <f>'FOUND DATA - AVERAGE GRADES'!G110</f>
        <v/>
      </c>
      <c r="G107" s="36" t="str">
        <f>'FOUND DATA - AVERAGE GRADES'!H110</f>
        <v/>
      </c>
      <c r="H107" s="35" t="str">
        <f>'FOUND DATA - AVERAGE GRADES'!I110</f>
        <v/>
      </c>
      <c r="I107" s="36" t="str">
        <f>'FOUND DATA - AVERAGE GRADES'!J110</f>
        <v/>
      </c>
      <c r="J107" s="35" t="str">
        <f>'FOUND DATA - AVERAGE GRADES'!K110</f>
        <v/>
      </c>
      <c r="K107" s="35" t="str">
        <f>'FOUND DATA - AVERAGE GRADES'!L110</f>
        <v/>
      </c>
    </row>
    <row r="108">
      <c r="A108" s="36" t="str">
        <f>'FOUND DATA - AVERAGE GRADES'!B111</f>
        <v/>
      </c>
      <c r="B108" s="35" t="str">
        <f>'FOUND DATA - AVERAGE GRADES'!C111</f>
        <v/>
      </c>
      <c r="C108" s="36" t="str">
        <f>'FOUND DATA - AVERAGE GRADES'!D111</f>
        <v/>
      </c>
      <c r="D108" s="35" t="str">
        <f>'FOUND DATA - AVERAGE GRADES'!E111</f>
        <v/>
      </c>
      <c r="E108" s="36" t="str">
        <f>'FOUND DATA - AVERAGE GRADES'!F111</f>
        <v/>
      </c>
      <c r="F108" s="35" t="str">
        <f>'FOUND DATA - AVERAGE GRADES'!G111</f>
        <v/>
      </c>
      <c r="G108" s="36" t="str">
        <f>'FOUND DATA - AVERAGE GRADES'!H111</f>
        <v/>
      </c>
      <c r="H108" s="35" t="str">
        <f>'FOUND DATA - AVERAGE GRADES'!I111</f>
        <v/>
      </c>
      <c r="I108" s="36" t="str">
        <f>'FOUND DATA - AVERAGE GRADES'!J111</f>
        <v/>
      </c>
      <c r="J108" s="35" t="str">
        <f>'FOUND DATA - AVERAGE GRADES'!K111</f>
        <v/>
      </c>
      <c r="K108" s="35" t="str">
        <f>'FOUND DATA - AVERAGE GRADES'!L111</f>
        <v/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178</v>
      </c>
    </row>
    <row r="2">
      <c r="A2" s="35">
        <f>'FOUND DATA - AVERAGE GRADES'!T5</f>
        <v>91.889</v>
      </c>
    </row>
    <row r="3">
      <c r="A3" s="35">
        <f>'FOUND DATA - AVERAGE GRADES'!T6</f>
        <v>84.942</v>
      </c>
    </row>
    <row r="4">
      <c r="A4" s="35">
        <f>'FOUND DATA - AVERAGE GRADES'!T7</f>
        <v>85.746</v>
      </c>
    </row>
    <row r="5">
      <c r="A5" s="35">
        <f>'FOUND DATA - AVERAGE GRADES'!T8</f>
        <v>82.8595</v>
      </c>
    </row>
    <row r="6">
      <c r="A6" s="35">
        <f>'FOUND DATA - AVERAGE GRADES'!T9</f>
        <v>81.551</v>
      </c>
    </row>
    <row r="7">
      <c r="A7" s="35">
        <f>'FOUND DATA - AVERAGE GRADES'!T10</f>
        <v>84.75</v>
      </c>
    </row>
    <row r="8">
      <c r="A8" s="35">
        <f>'FOUND DATA - AVERAGE GRADES'!T11</f>
        <v>82.738</v>
      </c>
    </row>
    <row r="9">
      <c r="A9" s="35">
        <f>'FOUND DATA - AVERAGE GRADES'!T12</f>
        <v>82.271</v>
      </c>
    </row>
    <row r="10">
      <c r="A10" s="35">
        <f>'FOUND DATA - AVERAGE GRADES'!T13</f>
        <v>84.134</v>
      </c>
    </row>
    <row r="11">
      <c r="A11" s="35">
        <f>'FOUND DATA - AVERAGE GRADES'!T14</f>
        <v>85.938</v>
      </c>
    </row>
    <row r="12">
      <c r="A12" s="35">
        <f>'FOUND DATA - AVERAGE GRADES'!T15</f>
        <v>86.889</v>
      </c>
    </row>
    <row r="13">
      <c r="A13" s="35">
        <f>'FOUND DATA - AVERAGE GRADES'!T16</f>
        <v>85.388</v>
      </c>
    </row>
    <row r="14">
      <c r="A14" s="35">
        <f>'FOUND DATA - AVERAGE GRADES'!T17</f>
        <v>91.844</v>
      </c>
    </row>
    <row r="15">
      <c r="A15" s="35">
        <f>'FOUND DATA - AVERAGE GRADES'!T18</f>
        <v>80.8335</v>
      </c>
    </row>
    <row r="16">
      <c r="A16" s="35">
        <f>'FOUND DATA - AVERAGE GRADES'!T19</f>
        <v>81.7815</v>
      </c>
    </row>
    <row r="17">
      <c r="A17" s="35">
        <f>'FOUND DATA - AVERAGE GRADES'!T20</f>
        <v>84.307</v>
      </c>
    </row>
    <row r="18">
      <c r="A18" s="35">
        <f>'FOUND DATA - AVERAGE GRADES'!T21</f>
        <v>87.505</v>
      </c>
    </row>
    <row r="19">
      <c r="A19" s="35">
        <f>'FOUND DATA - AVERAGE GRADES'!T22</f>
        <v>91.296</v>
      </c>
    </row>
    <row r="20">
      <c r="A20" s="35">
        <f>'FOUND DATA - AVERAGE GRADES'!T23</f>
        <v>88.636</v>
      </c>
    </row>
    <row r="21">
      <c r="A21" s="35">
        <f>'FOUND DATA - AVERAGE GRADES'!T24</f>
        <v>93.889</v>
      </c>
    </row>
    <row r="22">
      <c r="A22" s="35">
        <f>'FOUND DATA - AVERAGE GRADES'!T25</f>
        <v>92.0135</v>
      </c>
    </row>
    <row r="23">
      <c r="A23" s="35">
        <f>'FOUND DATA - AVERAGE GRADES'!T26</f>
        <v>88.044</v>
      </c>
    </row>
    <row r="24">
      <c r="A24" s="35">
        <f>'FOUND DATA - AVERAGE GRADES'!T27</f>
        <v>90.134</v>
      </c>
    </row>
    <row r="25">
      <c r="A25" s="35">
        <f>'FOUND DATA - AVERAGE GRADES'!T28</f>
        <v>83.666</v>
      </c>
    </row>
    <row r="26">
      <c r="A26" s="35">
        <f>'FOUND DATA - AVERAGE GRADES'!T29</f>
        <v>92.5805</v>
      </c>
    </row>
    <row r="27">
      <c r="A27" s="35">
        <f>'FOUND DATA - AVERAGE GRADES'!T30</f>
        <v>86.6815</v>
      </c>
    </row>
    <row r="28">
      <c r="A28" s="35">
        <f>'FOUND DATA - AVERAGE GRADES'!T31</f>
        <v>79.793</v>
      </c>
    </row>
    <row r="29">
      <c r="A29" s="35">
        <f>'FOUND DATA - AVERAGE GRADES'!T32</f>
        <v>82.735</v>
      </c>
    </row>
    <row r="30">
      <c r="A30" s="35">
        <f>'FOUND DATA - AVERAGE GRADES'!T33</f>
        <v>80.4865</v>
      </c>
    </row>
    <row r="31">
      <c r="A31" s="35">
        <f>'FOUND DATA - AVERAGE GRADES'!T34</f>
        <v>90.001</v>
      </c>
    </row>
    <row r="32">
      <c r="A32" s="35">
        <f>'FOUND DATA - AVERAGE GRADES'!T35</f>
        <v>86.135</v>
      </c>
    </row>
    <row r="33">
      <c r="A33" s="35">
        <f>'FOUND DATA - AVERAGE GRADES'!T36</f>
        <v>84.8225</v>
      </c>
    </row>
    <row r="34">
      <c r="A34" s="35">
        <f>'FOUND DATA - AVERAGE GRADES'!T37</f>
        <v>89.58333333</v>
      </c>
    </row>
    <row r="35">
      <c r="A35" s="35">
        <f>'FOUND DATA - AVERAGE GRADES'!T38</f>
        <v>88.14516129</v>
      </c>
    </row>
    <row r="36">
      <c r="A36" s="35">
        <f>'FOUND DATA - AVERAGE GRADES'!T39</f>
        <v>89.7195</v>
      </c>
    </row>
    <row r="37">
      <c r="A37" s="35">
        <f>'FOUND DATA - AVERAGE GRADES'!T40</f>
        <v>85.4695</v>
      </c>
    </row>
    <row r="38">
      <c r="A38" s="35">
        <f>'FOUND DATA - AVERAGE GRADES'!T41</f>
        <v>87.5295</v>
      </c>
    </row>
    <row r="39">
      <c r="A39" s="35">
        <f>'FOUND DATA - AVERAGE GRADES'!T42</f>
        <v>85.195</v>
      </c>
    </row>
    <row r="40">
      <c r="A40" s="35">
        <f>'FOUND DATA - AVERAGE GRADES'!T43</f>
        <v>88.75</v>
      </c>
    </row>
    <row r="41">
      <c r="A41" s="35">
        <f>'FOUND DATA - AVERAGE GRADES'!T44</f>
        <v>87.727</v>
      </c>
    </row>
    <row r="42">
      <c r="A42" s="35">
        <f>'FOUND DATA - AVERAGE GRADES'!T45</f>
        <v>84.606</v>
      </c>
    </row>
    <row r="43">
      <c r="A43" s="35">
        <f>'FOUND DATA - AVERAGE GRADES'!T46</f>
        <v>94.64285714</v>
      </c>
    </row>
    <row r="44">
      <c r="A44" s="35">
        <f>'FOUND DATA - AVERAGE GRADES'!T47</f>
        <v>91.25</v>
      </c>
    </row>
    <row r="45">
      <c r="A45" s="35">
        <f>'FOUND DATA - AVERAGE GRADES'!T48</f>
        <v>93.33333333</v>
      </c>
    </row>
    <row r="46">
      <c r="A46" s="35">
        <f>'FOUND DATA - AVERAGE GRADES'!T49</f>
        <v>78.941</v>
      </c>
    </row>
    <row r="47">
      <c r="A47" s="35">
        <f>'FOUND DATA - AVERAGE GRADES'!T50</f>
        <v>81.4525</v>
      </c>
    </row>
    <row r="48">
      <c r="A48" s="35">
        <f>'FOUND DATA - AVERAGE GRADES'!T51</f>
        <v>92.429</v>
      </c>
    </row>
    <row r="49">
      <c r="A49" s="35">
        <f>'FOUND DATA - AVERAGE GRADES'!T52</f>
        <v>82.667</v>
      </c>
    </row>
    <row r="50">
      <c r="A50" s="35">
        <f>'FOUND DATA - AVERAGE GRADES'!T53</f>
        <v>88</v>
      </c>
    </row>
    <row r="51">
      <c r="A51" s="35">
        <f>'FOUND DATA - AVERAGE GRADES'!T54</f>
        <v>84.6</v>
      </c>
    </row>
    <row r="52">
      <c r="A52" s="35">
        <f>'FOUND DATA - AVERAGE GRADES'!T55</f>
        <v>94.048</v>
      </c>
    </row>
    <row r="53">
      <c r="A53" s="35">
        <f>'FOUND DATA - AVERAGE GRADES'!T56</f>
        <v>85.44303797</v>
      </c>
    </row>
    <row r="54">
      <c r="A54" s="35">
        <f>'FOUND DATA - AVERAGE GRADES'!T57</f>
        <v>82.66666667</v>
      </c>
    </row>
    <row r="55">
      <c r="A55" s="35">
        <f>'FOUND DATA - AVERAGE GRADES'!T58</f>
        <v>83.3525</v>
      </c>
    </row>
    <row r="56">
      <c r="A56" s="35">
        <f>'FOUND DATA - AVERAGE GRADES'!T59</f>
        <v>89.097</v>
      </c>
    </row>
    <row r="57">
      <c r="A57" s="35">
        <f>'FOUND DATA - AVERAGE GRADES'!T60</f>
        <v>86.2345</v>
      </c>
    </row>
    <row r="58">
      <c r="A58" s="35">
        <f>'FOUND DATA - AVERAGE GRADES'!T61</f>
        <v>86.268</v>
      </c>
    </row>
    <row r="59">
      <c r="A59" s="35">
        <f>'FOUND DATA - AVERAGE GRADES'!T62</f>
        <v>85.001</v>
      </c>
    </row>
    <row r="60">
      <c r="A60" s="35">
        <f>'FOUND DATA - AVERAGE GRADES'!T63</f>
        <v>88.5</v>
      </c>
    </row>
    <row r="61">
      <c r="A61" s="35">
        <f>'FOUND DATA - AVERAGE GRADES'!T64</f>
        <v>88.182</v>
      </c>
    </row>
    <row r="62">
      <c r="A62" s="35">
        <f>'FOUND DATA - AVERAGE GRADES'!T65</f>
        <v>87.30769231</v>
      </c>
    </row>
    <row r="63">
      <c r="A63" s="35">
        <f>'FOUND DATA - AVERAGE GRADES'!T66</f>
        <v>83.83333333</v>
      </c>
    </row>
    <row r="64">
      <c r="A64" s="35">
        <f>'FOUND DATA - AVERAGE GRADES'!T67</f>
        <v>88.09090909</v>
      </c>
    </row>
    <row r="65">
      <c r="A65" s="35">
        <f>'FOUND DATA - AVERAGE GRADES'!T68</f>
        <v>83.35877863</v>
      </c>
    </row>
    <row r="66">
      <c r="A66" s="35">
        <f>'FOUND DATA - AVERAGE GRADES'!T69</f>
        <v>83.125</v>
      </c>
    </row>
    <row r="67">
      <c r="A67" s="35">
        <f>'FOUND DATA - AVERAGE GRADES'!T70</f>
        <v>83.68852459</v>
      </c>
    </row>
    <row r="68">
      <c r="A68" s="35">
        <f>'FOUND DATA - AVERAGE GRADES'!T71</f>
        <v>89.59459459</v>
      </c>
    </row>
    <row r="69">
      <c r="A69" s="35">
        <f>'FOUND DATA - AVERAGE GRADES'!T72</f>
        <v>88.766</v>
      </c>
    </row>
    <row r="70">
      <c r="A70" s="35">
        <f>'FOUND DATA - AVERAGE GRADES'!T73</f>
        <v>91.88811189</v>
      </c>
    </row>
    <row r="71">
      <c r="A71" s="35">
        <f>'FOUND DATA - AVERAGE GRADES'!T74</f>
        <v>84.36781609</v>
      </c>
    </row>
    <row r="72">
      <c r="A72" s="35">
        <f>'FOUND DATA - AVERAGE GRADES'!T75</f>
        <v>83.38461538</v>
      </c>
    </row>
    <row r="73">
      <c r="A73" s="35">
        <f>'FOUND DATA - AVERAGE GRADES'!T76</f>
        <v>89.35606061</v>
      </c>
    </row>
    <row r="74">
      <c r="A74" s="35">
        <f>'FOUND DATA - AVERAGE GRADES'!T77</f>
        <v>85.86956522</v>
      </c>
    </row>
    <row r="75">
      <c r="A75" s="35">
        <f>'FOUND DATA - AVERAGE GRADES'!T78</f>
        <v>86.43333333</v>
      </c>
    </row>
    <row r="76">
      <c r="A76" s="35">
        <f>'FOUND DATA - AVERAGE GRADES'!T79</f>
        <v>93.01282051</v>
      </c>
    </row>
    <row r="77">
      <c r="A77" s="35">
        <f>'FOUND DATA - AVERAGE GRADES'!T80</f>
        <v>90.354</v>
      </c>
    </row>
    <row r="78">
      <c r="A78" s="35">
        <f>'FOUND DATA - AVERAGE GRADES'!T81</f>
        <v>92.848</v>
      </c>
    </row>
    <row r="79">
      <c r="A79" s="35">
        <f>'FOUND DATA - AVERAGE GRADES'!T82</f>
        <v>88.81</v>
      </c>
    </row>
    <row r="80">
      <c r="A80" s="35">
        <f>'FOUND DATA - AVERAGE GRADES'!T83</f>
        <v>89.4335</v>
      </c>
    </row>
    <row r="81">
      <c r="A81" s="35">
        <f>'FOUND DATA - AVERAGE GRADES'!T84</f>
        <v>87.618</v>
      </c>
    </row>
    <row r="82">
      <c r="A82" s="35">
        <f>'FOUND DATA - AVERAGE GRADES'!T85</f>
        <v>90.454</v>
      </c>
    </row>
    <row r="83">
      <c r="A83" s="35">
        <f>'FOUND DATA - AVERAGE GRADES'!T86</f>
        <v>84.231</v>
      </c>
    </row>
    <row r="84">
      <c r="A84" s="35">
        <f>'FOUND DATA - AVERAGE GRADES'!T87</f>
        <v>92.353</v>
      </c>
    </row>
    <row r="85">
      <c r="A85" s="35">
        <f>'FOUND DATA - AVERAGE GRADES'!T88</f>
        <v>93.571</v>
      </c>
    </row>
    <row r="86">
      <c r="A86" s="35">
        <f>'FOUND DATA - AVERAGE GRADES'!T89</f>
        <v>90.333</v>
      </c>
    </row>
    <row r="87">
      <c r="A87" s="35">
        <f>'FOUND DATA - AVERAGE GRADES'!T90</f>
        <v>89.286</v>
      </c>
    </row>
    <row r="88">
      <c r="A88" s="35">
        <f>'FOUND DATA - AVERAGE GRADES'!T91</f>
        <v>88.653</v>
      </c>
    </row>
    <row r="89">
      <c r="A89" s="35">
        <f>'FOUND DATA - AVERAGE GRADES'!T92</f>
        <v>87.1125</v>
      </c>
    </row>
    <row r="90">
      <c r="A90" s="35">
        <f>'FOUND DATA - AVERAGE GRADES'!T93</f>
        <v>84.343</v>
      </c>
    </row>
    <row r="91">
      <c r="A91" s="35">
        <f>'FOUND DATA - AVERAGE GRADES'!T94</f>
        <v>83.487</v>
      </c>
    </row>
    <row r="92">
      <c r="A92" s="35">
        <f>'FOUND DATA - AVERAGE GRADES'!T95</f>
        <v>90.313</v>
      </c>
    </row>
    <row r="93">
      <c r="A93" s="35">
        <f>'FOUND DATA - AVERAGE GRADES'!T96</f>
        <v>84.278</v>
      </c>
    </row>
    <row r="94">
      <c r="A94" s="35">
        <f>'FOUND DATA - AVERAGE GRADES'!T97</f>
        <v>89.182</v>
      </c>
    </row>
    <row r="95">
      <c r="A95" s="35">
        <f>'FOUND DATA - AVERAGE GRADES'!T98</f>
        <v>91.298</v>
      </c>
    </row>
    <row r="96">
      <c r="A96" s="35">
        <f>'FOUND DATA - AVERAGE GRADES'!T99</f>
        <v>88.92</v>
      </c>
    </row>
    <row r="97">
      <c r="A97" s="35">
        <f>'FOUND DATA - AVERAGE GRADES'!T100</f>
        <v>83.77</v>
      </c>
    </row>
    <row r="98">
      <c r="A98" s="35">
        <f>'FOUND DATA - AVERAGE GRADES'!T101</f>
        <v>84.3</v>
      </c>
    </row>
    <row r="99">
      <c r="A99" s="35">
        <f>'FOUND DATA - AVERAGE GRADES'!T102</f>
        <v>86.355</v>
      </c>
    </row>
    <row r="100">
      <c r="A100" s="36" t="str">
        <f>'FOUND DATA - AVERAGE GRADES'!T103</f>
        <v>END</v>
      </c>
    </row>
    <row r="101">
      <c r="A101" s="36" t="str">
        <f>'FOUND DATA - AVERAGE GRADES'!T104</f>
        <v/>
      </c>
    </row>
    <row r="102">
      <c r="A102" s="36" t="str">
        <f>'FOUND DATA - AVERAGE GRADES'!T105</f>
        <v/>
      </c>
    </row>
    <row r="103">
      <c r="A103" s="36" t="str">
        <f>'FOUND DATA - AVERAGE GRADES'!T106</f>
        <v/>
      </c>
    </row>
    <row r="104">
      <c r="A104" s="36" t="str">
        <f>'FOUND DATA - AVERAGE GRADES'!T104</f>
        <v/>
      </c>
    </row>
    <row r="105">
      <c r="A105" s="36" t="str">
        <f>'FOUND DATA - AVERAGE GRADES'!T105</f>
        <v/>
      </c>
    </row>
    <row r="106">
      <c r="A106" s="36" t="str">
        <f>'FOUND DATA - AVERAGE GRADES'!T106</f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8" max="9" width="25.13"/>
    <col customWidth="1" min="10" max="10" width="11.0"/>
    <col customWidth="1" min="11" max="11" width="32.63"/>
  </cols>
  <sheetData>
    <row r="1">
      <c r="A1" s="79" t="s">
        <v>179</v>
      </c>
      <c r="B1" s="28" t="s">
        <v>180</v>
      </c>
      <c r="C1" s="28" t="s">
        <v>181</v>
      </c>
      <c r="D1" s="28" t="s">
        <v>182</v>
      </c>
      <c r="I1" s="28" t="s">
        <v>183</v>
      </c>
      <c r="K1" s="28" t="s">
        <v>184</v>
      </c>
    </row>
    <row r="2">
      <c r="A2" s="80" t="s">
        <v>185</v>
      </c>
      <c r="B2" s="28">
        <v>22.0</v>
      </c>
      <c r="C2" s="28" t="s">
        <v>186</v>
      </c>
      <c r="D2" s="28">
        <v>7.5634</v>
      </c>
      <c r="F2" s="81" t="s">
        <v>186</v>
      </c>
      <c r="G2" s="82">
        <f t="shared" ref="G2:G8" si="1">COUNTIF($C$2:$C$12,F2)</f>
        <v>3</v>
      </c>
      <c r="I2" s="81" t="s">
        <v>186</v>
      </c>
      <c r="J2" s="82">
        <f t="shared" ref="J2:J8" si="2">COUNTIF($C$2:$C$56,I2)</f>
        <v>15</v>
      </c>
      <c r="K2" s="83">
        <f t="shared" ref="K2:K8" si="3">J2/$J$10</f>
        <v>0.2727272727</v>
      </c>
    </row>
    <row r="3">
      <c r="B3" s="28">
        <v>24.0</v>
      </c>
      <c r="C3" s="28" t="s">
        <v>187</v>
      </c>
      <c r="D3" s="28">
        <v>7.2375</v>
      </c>
      <c r="F3" s="84" t="s">
        <v>187</v>
      </c>
      <c r="G3" s="82">
        <f t="shared" si="1"/>
        <v>3</v>
      </c>
      <c r="I3" s="28" t="s">
        <v>187</v>
      </c>
      <c r="J3" s="36">
        <f t="shared" si="2"/>
        <v>5</v>
      </c>
      <c r="K3" s="83">
        <f t="shared" si="3"/>
        <v>0.09090909091</v>
      </c>
    </row>
    <row r="4">
      <c r="B4" s="28">
        <v>26.0</v>
      </c>
      <c r="C4" s="28" t="s">
        <v>188</v>
      </c>
      <c r="D4" s="28">
        <v>7.3387</v>
      </c>
      <c r="F4" s="28" t="s">
        <v>188</v>
      </c>
      <c r="G4" s="36">
        <f t="shared" si="1"/>
        <v>1</v>
      </c>
      <c r="I4" s="28" t="s">
        <v>188</v>
      </c>
      <c r="J4" s="36">
        <f t="shared" si="2"/>
        <v>7</v>
      </c>
      <c r="K4" s="83">
        <f t="shared" si="3"/>
        <v>0.1272727273</v>
      </c>
    </row>
    <row r="5">
      <c r="B5" s="28">
        <v>28.0</v>
      </c>
      <c r="C5" s="28" t="s">
        <v>189</v>
      </c>
      <c r="D5" s="28">
        <v>7.0748</v>
      </c>
      <c r="F5" s="28" t="s">
        <v>190</v>
      </c>
      <c r="G5" s="36">
        <f t="shared" si="1"/>
        <v>0</v>
      </c>
      <c r="I5" s="28" t="s">
        <v>190</v>
      </c>
      <c r="J5" s="36">
        <f t="shared" si="2"/>
        <v>2</v>
      </c>
      <c r="K5" s="83">
        <f t="shared" si="3"/>
        <v>0.03636363636</v>
      </c>
    </row>
    <row r="6">
      <c r="B6" s="28">
        <v>30.0</v>
      </c>
      <c r="C6" s="28" t="s">
        <v>186</v>
      </c>
      <c r="D6" s="28">
        <v>7.3017</v>
      </c>
      <c r="F6" s="28" t="s">
        <v>191</v>
      </c>
      <c r="G6" s="36">
        <f t="shared" si="1"/>
        <v>0</v>
      </c>
      <c r="I6" s="28" t="s">
        <v>191</v>
      </c>
      <c r="J6" s="36">
        <f t="shared" si="2"/>
        <v>6</v>
      </c>
      <c r="K6" s="83">
        <f t="shared" si="3"/>
        <v>0.1090909091</v>
      </c>
    </row>
    <row r="7">
      <c r="B7" s="28">
        <v>32.0</v>
      </c>
      <c r="C7" s="28" t="s">
        <v>186</v>
      </c>
      <c r="D7" s="28">
        <v>5.2438</v>
      </c>
      <c r="F7" s="28" t="s">
        <v>189</v>
      </c>
      <c r="G7" s="36">
        <f t="shared" si="1"/>
        <v>2</v>
      </c>
      <c r="I7" s="28" t="s">
        <v>189</v>
      </c>
      <c r="J7" s="36">
        <f t="shared" si="2"/>
        <v>10</v>
      </c>
      <c r="K7" s="83">
        <f t="shared" si="3"/>
        <v>0.1818181818</v>
      </c>
    </row>
    <row r="8">
      <c r="B8" s="28">
        <v>34.0</v>
      </c>
      <c r="C8" s="28" t="s">
        <v>192</v>
      </c>
      <c r="D8" s="28">
        <v>7.5521</v>
      </c>
      <c r="F8" s="28" t="s">
        <v>192</v>
      </c>
      <c r="G8" s="36">
        <f t="shared" si="1"/>
        <v>2</v>
      </c>
      <c r="I8" s="28" t="s">
        <v>192</v>
      </c>
      <c r="J8" s="36">
        <f t="shared" si="2"/>
        <v>10</v>
      </c>
      <c r="K8" s="83">
        <f t="shared" si="3"/>
        <v>0.1818181818</v>
      </c>
    </row>
    <row r="9">
      <c r="B9" s="28">
        <v>36.0</v>
      </c>
      <c r="C9" s="28" t="s">
        <v>192</v>
      </c>
      <c r="D9" s="28">
        <v>7.7707</v>
      </c>
      <c r="K9" s="83"/>
    </row>
    <row r="10">
      <c r="B10" s="28">
        <v>38.0</v>
      </c>
      <c r="C10" s="28" t="s">
        <v>189</v>
      </c>
      <c r="D10" s="28">
        <v>6.1076</v>
      </c>
      <c r="I10" s="28" t="s">
        <v>193</v>
      </c>
      <c r="J10" s="36">
        <f>ROWS(2:56)</f>
        <v>55</v>
      </c>
      <c r="K10" s="83">
        <f>SUM(K2:K8)</f>
        <v>1</v>
      </c>
    </row>
    <row r="11">
      <c r="B11" s="28">
        <v>40.0</v>
      </c>
      <c r="C11" s="28" t="s">
        <v>187</v>
      </c>
      <c r="D11" s="28">
        <v>6.6602</v>
      </c>
    </row>
    <row r="12">
      <c r="B12" s="28">
        <v>42.0</v>
      </c>
      <c r="C12" s="28" t="s">
        <v>187</v>
      </c>
      <c r="D12" s="28">
        <v>7.5707</v>
      </c>
      <c r="J12" s="83"/>
    </row>
    <row r="13">
      <c r="A13" s="80" t="s">
        <v>194</v>
      </c>
      <c r="B13" s="28">
        <v>22.0</v>
      </c>
      <c r="C13" s="28" t="s">
        <v>186</v>
      </c>
      <c r="D13" s="28">
        <v>6.1952</v>
      </c>
      <c r="F13" s="81" t="s">
        <v>186</v>
      </c>
      <c r="G13" s="82">
        <f t="shared" ref="G13:G19" si="4">COUNTIF($C$13:$C$23,F13)</f>
        <v>3</v>
      </c>
      <c r="J13" s="83"/>
    </row>
    <row r="14">
      <c r="B14" s="28">
        <v>24.0</v>
      </c>
      <c r="C14" s="28" t="s">
        <v>188</v>
      </c>
      <c r="D14" s="28">
        <v>7.1814</v>
      </c>
      <c r="F14" s="28" t="s">
        <v>187</v>
      </c>
      <c r="G14" s="36">
        <f t="shared" si="4"/>
        <v>1</v>
      </c>
      <c r="I14" s="28" t="s">
        <v>195</v>
      </c>
    </row>
    <row r="15">
      <c r="B15" s="28">
        <v>26.0</v>
      </c>
      <c r="C15" s="28" t="s">
        <v>188</v>
      </c>
      <c r="D15" s="28">
        <v>7.3248</v>
      </c>
      <c r="F15" s="28" t="s">
        <v>188</v>
      </c>
      <c r="G15" s="36">
        <f t="shared" si="4"/>
        <v>2</v>
      </c>
      <c r="J15" s="83"/>
    </row>
    <row r="16">
      <c r="B16" s="28">
        <v>28.0</v>
      </c>
      <c r="C16" s="28" t="s">
        <v>189</v>
      </c>
      <c r="D16" s="28">
        <v>6.9625</v>
      </c>
      <c r="F16" s="28" t="s">
        <v>190</v>
      </c>
      <c r="G16" s="36">
        <f t="shared" si="4"/>
        <v>0</v>
      </c>
      <c r="J16" s="83"/>
    </row>
    <row r="17">
      <c r="B17" s="28">
        <v>30.0</v>
      </c>
      <c r="C17" s="28" t="s">
        <v>186</v>
      </c>
      <c r="D17" s="28">
        <v>7.3017</v>
      </c>
      <c r="F17" s="28" t="s">
        <v>191</v>
      </c>
      <c r="G17" s="36">
        <f t="shared" si="4"/>
        <v>1</v>
      </c>
    </row>
    <row r="18">
      <c r="B18" s="28">
        <v>32.0</v>
      </c>
      <c r="C18" s="28" t="s">
        <v>186</v>
      </c>
      <c r="D18" s="28">
        <v>5.5736</v>
      </c>
      <c r="F18" s="28" t="s">
        <v>189</v>
      </c>
      <c r="G18" s="36">
        <f t="shared" si="4"/>
        <v>1</v>
      </c>
    </row>
    <row r="19">
      <c r="B19" s="28">
        <v>34.0</v>
      </c>
      <c r="C19" s="28" t="s">
        <v>192</v>
      </c>
      <c r="D19" s="85">
        <v>7.629</v>
      </c>
      <c r="F19" s="84" t="s">
        <v>192</v>
      </c>
      <c r="G19" s="82">
        <f t="shared" si="4"/>
        <v>3</v>
      </c>
    </row>
    <row r="20">
      <c r="B20" s="28">
        <v>36.0</v>
      </c>
      <c r="C20" s="28" t="s">
        <v>192</v>
      </c>
      <c r="D20" s="28">
        <v>7.2897</v>
      </c>
    </row>
    <row r="21">
      <c r="B21" s="28">
        <v>38.0</v>
      </c>
      <c r="C21" s="28" t="s">
        <v>187</v>
      </c>
      <c r="D21" s="28">
        <v>6.1659</v>
      </c>
    </row>
    <row r="22">
      <c r="B22" s="28">
        <v>40.0</v>
      </c>
      <c r="C22" s="28" t="s">
        <v>191</v>
      </c>
      <c r="D22" s="28">
        <v>6.5938</v>
      </c>
    </row>
    <row r="23">
      <c r="B23" s="28">
        <v>42.0</v>
      </c>
      <c r="C23" s="28" t="s">
        <v>192</v>
      </c>
      <c r="D23" s="28">
        <v>7.3608</v>
      </c>
    </row>
    <row r="24">
      <c r="A24" s="80" t="s">
        <v>196</v>
      </c>
      <c r="B24" s="28">
        <v>22.0</v>
      </c>
      <c r="C24" s="28" t="s">
        <v>186</v>
      </c>
      <c r="D24" s="28">
        <v>6.3916</v>
      </c>
      <c r="F24" s="86" t="s">
        <v>186</v>
      </c>
      <c r="G24" s="36">
        <f t="shared" ref="G24:G30" si="5">COUNTIF($C$24:$C$34,F24)</f>
        <v>2</v>
      </c>
    </row>
    <row r="25">
      <c r="B25" s="28">
        <v>24.0</v>
      </c>
      <c r="C25" s="28" t="s">
        <v>192</v>
      </c>
      <c r="D25" s="28">
        <v>7.2357</v>
      </c>
      <c r="F25" s="28" t="s">
        <v>187</v>
      </c>
      <c r="G25" s="36">
        <f t="shared" si="5"/>
        <v>0</v>
      </c>
    </row>
    <row r="26">
      <c r="B26" s="28">
        <v>26.0</v>
      </c>
      <c r="C26" s="28" t="s">
        <v>188</v>
      </c>
      <c r="D26" s="28">
        <v>7.5423</v>
      </c>
      <c r="F26" s="28" t="s">
        <v>188</v>
      </c>
      <c r="G26" s="36">
        <f t="shared" si="5"/>
        <v>1</v>
      </c>
    </row>
    <row r="27">
      <c r="B27" s="28">
        <v>28.0</v>
      </c>
      <c r="C27" s="28" t="s">
        <v>192</v>
      </c>
      <c r="D27" s="28">
        <v>7.3185</v>
      </c>
      <c r="F27" s="28" t="s">
        <v>190</v>
      </c>
      <c r="G27" s="36">
        <f t="shared" si="5"/>
        <v>0</v>
      </c>
    </row>
    <row r="28">
      <c r="B28" s="28">
        <v>30.0</v>
      </c>
      <c r="C28" s="28" t="s">
        <v>191</v>
      </c>
      <c r="D28" s="85">
        <v>6.774</v>
      </c>
      <c r="F28" s="84" t="s">
        <v>191</v>
      </c>
      <c r="G28" s="82">
        <f t="shared" si="5"/>
        <v>4</v>
      </c>
    </row>
    <row r="29">
      <c r="B29" s="28">
        <v>32.0</v>
      </c>
      <c r="C29" s="28" t="s">
        <v>191</v>
      </c>
      <c r="D29" s="28">
        <v>5.5616</v>
      </c>
      <c r="F29" s="28" t="s">
        <v>189</v>
      </c>
      <c r="G29" s="36">
        <f t="shared" si="5"/>
        <v>2</v>
      </c>
    </row>
    <row r="30">
      <c r="B30" s="28">
        <v>34.0</v>
      </c>
      <c r="C30" s="28" t="s">
        <v>186</v>
      </c>
      <c r="D30" s="28">
        <v>8.1873</v>
      </c>
      <c r="F30" s="28" t="s">
        <v>192</v>
      </c>
      <c r="G30" s="36">
        <f t="shared" si="5"/>
        <v>2</v>
      </c>
    </row>
    <row r="31">
      <c r="B31" s="28">
        <v>36.0</v>
      </c>
      <c r="C31" s="28" t="s">
        <v>189</v>
      </c>
      <c r="D31" s="28">
        <v>7.7969</v>
      </c>
    </row>
    <row r="32">
      <c r="B32" s="28">
        <v>38.0</v>
      </c>
      <c r="C32" s="28" t="s">
        <v>189</v>
      </c>
      <c r="D32" s="28">
        <v>6.1259</v>
      </c>
    </row>
    <row r="33">
      <c r="B33" s="28">
        <v>40.0</v>
      </c>
      <c r="C33" s="28" t="s">
        <v>191</v>
      </c>
      <c r="D33" s="28">
        <v>6.5066</v>
      </c>
    </row>
    <row r="34">
      <c r="B34" s="28">
        <v>42.0</v>
      </c>
      <c r="C34" s="28" t="s">
        <v>191</v>
      </c>
      <c r="D34" s="28">
        <v>7.6046</v>
      </c>
    </row>
    <row r="35">
      <c r="A35" s="80" t="s">
        <v>197</v>
      </c>
      <c r="B35" s="28">
        <v>22.0</v>
      </c>
      <c r="C35" s="28" t="s">
        <v>186</v>
      </c>
      <c r="D35" s="28">
        <v>6.3316</v>
      </c>
      <c r="F35" s="81" t="s">
        <v>186</v>
      </c>
      <c r="G35" s="82">
        <f t="shared" ref="G35:G41" si="6">COUNTIF($C$35:$C$45,F35)</f>
        <v>3</v>
      </c>
    </row>
    <row r="36">
      <c r="B36" s="28">
        <v>24.0</v>
      </c>
      <c r="C36" s="28" t="s">
        <v>188</v>
      </c>
      <c r="D36" s="28">
        <v>7.2354</v>
      </c>
      <c r="F36" s="28" t="s">
        <v>187</v>
      </c>
      <c r="G36" s="36">
        <f t="shared" si="6"/>
        <v>1</v>
      </c>
    </row>
    <row r="37">
      <c r="B37" s="28">
        <v>26.0</v>
      </c>
      <c r="C37" s="28" t="s">
        <v>192</v>
      </c>
      <c r="D37" s="85">
        <v>7.096</v>
      </c>
      <c r="F37" s="28" t="s">
        <v>188</v>
      </c>
      <c r="G37" s="36">
        <f t="shared" si="6"/>
        <v>1</v>
      </c>
    </row>
    <row r="38">
      <c r="B38" s="28">
        <v>28.0</v>
      </c>
      <c r="C38" s="28" t="s">
        <v>189</v>
      </c>
      <c r="D38" s="28">
        <v>6.9649</v>
      </c>
      <c r="F38" s="28" t="s">
        <v>190</v>
      </c>
      <c r="G38" s="36">
        <f t="shared" si="6"/>
        <v>0</v>
      </c>
    </row>
    <row r="39">
      <c r="B39" s="28">
        <v>30.0</v>
      </c>
      <c r="C39" s="28" t="s">
        <v>186</v>
      </c>
      <c r="D39" s="28">
        <v>6.6625</v>
      </c>
      <c r="F39" s="28" t="s">
        <v>191</v>
      </c>
      <c r="G39" s="36">
        <f t="shared" si="6"/>
        <v>1</v>
      </c>
    </row>
    <row r="40">
      <c r="B40" s="28">
        <v>32.0</v>
      </c>
      <c r="C40" s="28" t="s">
        <v>186</v>
      </c>
      <c r="D40" s="28">
        <v>5.2157</v>
      </c>
      <c r="F40" s="28" t="s">
        <v>189</v>
      </c>
      <c r="G40" s="36">
        <f t="shared" si="6"/>
        <v>2</v>
      </c>
    </row>
    <row r="41">
      <c r="B41" s="28">
        <v>34.0</v>
      </c>
      <c r="C41" s="28" t="s">
        <v>192</v>
      </c>
      <c r="D41" s="28">
        <v>7.9082</v>
      </c>
      <c r="F41" s="84" t="s">
        <v>192</v>
      </c>
      <c r="G41" s="82">
        <f t="shared" si="6"/>
        <v>3</v>
      </c>
    </row>
    <row r="42">
      <c r="B42" s="28">
        <v>36.0</v>
      </c>
      <c r="C42" s="28" t="s">
        <v>189</v>
      </c>
      <c r="D42" s="28">
        <v>7.8443</v>
      </c>
    </row>
    <row r="43">
      <c r="B43" s="28">
        <v>38.0</v>
      </c>
      <c r="C43" s="28" t="s">
        <v>192</v>
      </c>
      <c r="D43" s="28">
        <v>6.0706</v>
      </c>
    </row>
    <row r="44">
      <c r="B44" s="28">
        <v>40.0</v>
      </c>
      <c r="C44" s="28" t="s">
        <v>191</v>
      </c>
      <c r="D44" s="28">
        <v>6.5985</v>
      </c>
    </row>
    <row r="45">
      <c r="B45" s="28">
        <v>42.0</v>
      </c>
      <c r="C45" s="28" t="s">
        <v>187</v>
      </c>
      <c r="D45" s="28">
        <v>7.6286</v>
      </c>
    </row>
    <row r="46">
      <c r="A46" s="80" t="s">
        <v>198</v>
      </c>
      <c r="B46" s="28">
        <v>22.0</v>
      </c>
      <c r="C46" s="28" t="s">
        <v>186</v>
      </c>
      <c r="D46" s="28">
        <v>6.6154</v>
      </c>
      <c r="F46" s="81" t="s">
        <v>186</v>
      </c>
      <c r="G46" s="82">
        <f t="shared" ref="G46:G52" si="7">COUNTIF($C$46:$C$56,F46)</f>
        <v>4</v>
      </c>
    </row>
    <row r="47">
      <c r="B47" s="28">
        <v>24.0</v>
      </c>
      <c r="C47" s="28" t="s">
        <v>188</v>
      </c>
      <c r="D47" s="28">
        <v>7.1946</v>
      </c>
      <c r="F47" s="28" t="s">
        <v>187</v>
      </c>
      <c r="G47" s="36">
        <f t="shared" si="7"/>
        <v>0</v>
      </c>
    </row>
    <row r="48">
      <c r="B48" s="28">
        <v>26.0</v>
      </c>
      <c r="C48" s="28" t="s">
        <v>188</v>
      </c>
      <c r="D48" s="28">
        <v>7.2766</v>
      </c>
      <c r="F48" s="28" t="s">
        <v>188</v>
      </c>
      <c r="G48" s="36">
        <f t="shared" si="7"/>
        <v>2</v>
      </c>
    </row>
    <row r="49">
      <c r="B49" s="28">
        <v>28.0</v>
      </c>
      <c r="C49" s="28" t="s">
        <v>186</v>
      </c>
      <c r="D49" s="28">
        <v>7.0536</v>
      </c>
      <c r="F49" s="28" t="s">
        <v>190</v>
      </c>
      <c r="G49" s="36">
        <f t="shared" si="7"/>
        <v>2</v>
      </c>
    </row>
    <row r="50">
      <c r="B50" s="28">
        <v>30.0</v>
      </c>
      <c r="C50" s="28" t="s">
        <v>189</v>
      </c>
      <c r="D50" s="28">
        <v>7.1275</v>
      </c>
      <c r="F50" s="28" t="s">
        <v>191</v>
      </c>
      <c r="G50" s="36">
        <f t="shared" si="7"/>
        <v>0</v>
      </c>
    </row>
    <row r="51">
      <c r="B51" s="28">
        <v>32.0</v>
      </c>
      <c r="C51" s="28" t="s">
        <v>186</v>
      </c>
      <c r="D51" s="85">
        <v>5.621</v>
      </c>
      <c r="F51" s="28" t="s">
        <v>189</v>
      </c>
      <c r="G51" s="36">
        <f t="shared" si="7"/>
        <v>3</v>
      </c>
    </row>
    <row r="52">
      <c r="B52" s="28">
        <v>34.0</v>
      </c>
      <c r="C52" s="28" t="s">
        <v>189</v>
      </c>
      <c r="D52" s="28">
        <v>7.8516</v>
      </c>
      <c r="F52" s="28" t="s">
        <v>192</v>
      </c>
      <c r="G52" s="36">
        <f t="shared" si="7"/>
        <v>0</v>
      </c>
    </row>
    <row r="53">
      <c r="B53" s="28">
        <v>36.0</v>
      </c>
      <c r="C53" s="28" t="s">
        <v>189</v>
      </c>
      <c r="D53" s="28">
        <v>7.6694</v>
      </c>
    </row>
    <row r="54">
      <c r="B54" s="28">
        <v>38.0</v>
      </c>
      <c r="C54" s="28" t="s">
        <v>190</v>
      </c>
      <c r="D54" s="85">
        <v>6.213</v>
      </c>
    </row>
    <row r="55">
      <c r="B55" s="28">
        <v>40.0</v>
      </c>
      <c r="C55" s="28" t="s">
        <v>186</v>
      </c>
      <c r="D55" s="28">
        <v>6.815</v>
      </c>
    </row>
    <row r="56">
      <c r="B56" s="28">
        <v>42.0</v>
      </c>
      <c r="C56" s="28" t="s">
        <v>190</v>
      </c>
      <c r="D56" s="28">
        <v>7.5118</v>
      </c>
    </row>
    <row r="57">
      <c r="A57" s="80"/>
    </row>
    <row r="58">
      <c r="A58" s="80"/>
    </row>
    <row r="59">
      <c r="A59" s="80"/>
    </row>
    <row r="60">
      <c r="A60" s="80"/>
    </row>
    <row r="61">
      <c r="A61" s="80"/>
    </row>
    <row r="62">
      <c r="A62" s="80"/>
    </row>
    <row r="63">
      <c r="A63" s="80"/>
    </row>
    <row r="64">
      <c r="A64" s="80"/>
    </row>
    <row r="65">
      <c r="A65" s="80"/>
    </row>
    <row r="66">
      <c r="A66" s="80"/>
    </row>
    <row r="67">
      <c r="A67" s="80"/>
    </row>
    <row r="68">
      <c r="A68" s="80"/>
    </row>
    <row r="69">
      <c r="A69" s="80"/>
    </row>
    <row r="70">
      <c r="A70" s="80"/>
    </row>
    <row r="71">
      <c r="A71" s="80"/>
    </row>
    <row r="72">
      <c r="A72" s="80"/>
    </row>
    <row r="73">
      <c r="A73" s="80"/>
    </row>
    <row r="74">
      <c r="A74" s="80"/>
    </row>
    <row r="75">
      <c r="A75" s="80"/>
    </row>
    <row r="76">
      <c r="A76" s="80"/>
    </row>
    <row r="77">
      <c r="A77" s="80"/>
    </row>
    <row r="78">
      <c r="A78" s="80"/>
    </row>
  </sheetData>
  <mergeCells count="5">
    <mergeCell ref="A2:A12"/>
    <mergeCell ref="A13:A23"/>
    <mergeCell ref="A24:A34"/>
    <mergeCell ref="A35:A45"/>
    <mergeCell ref="A46:A5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8" max="8" width="25.13"/>
    <col customWidth="1" min="10" max="10" width="32.63"/>
  </cols>
  <sheetData>
    <row r="1">
      <c r="A1" s="79" t="s">
        <v>199</v>
      </c>
      <c r="B1" s="28" t="s">
        <v>180</v>
      </c>
      <c r="C1" s="28" t="s">
        <v>182</v>
      </c>
    </row>
    <row r="2">
      <c r="A2" s="80" t="s">
        <v>191</v>
      </c>
      <c r="B2" s="28">
        <v>22.0</v>
      </c>
      <c r="C2" s="87">
        <v>8.48280257077615</v>
      </c>
      <c r="E2" s="28" t="s">
        <v>200</v>
      </c>
      <c r="F2" s="36">
        <f>SUM(C2:C12)/ROWS(2:12)</f>
        <v>7.573751652</v>
      </c>
      <c r="H2" s="88"/>
      <c r="J2" s="83"/>
    </row>
    <row r="3">
      <c r="B3" s="28">
        <v>24.0</v>
      </c>
      <c r="C3" s="87">
        <v>7.75558278808901</v>
      </c>
      <c r="J3" s="83"/>
    </row>
    <row r="4">
      <c r="B4" s="28">
        <v>26.0</v>
      </c>
      <c r="C4" s="87">
        <v>7.761245450747</v>
      </c>
      <c r="J4" s="83"/>
    </row>
    <row r="5">
      <c r="B5" s="28">
        <v>28.0</v>
      </c>
      <c r="C5" s="87">
        <v>7.89124097809936</v>
      </c>
      <c r="J5" s="83"/>
    </row>
    <row r="6">
      <c r="B6" s="28">
        <v>30.0</v>
      </c>
      <c r="C6" s="87">
        <v>7.71900467703613</v>
      </c>
      <c r="J6" s="83"/>
    </row>
    <row r="7">
      <c r="B7" s="28">
        <v>32.0</v>
      </c>
      <c r="C7" s="87">
        <v>6.03362593615752</v>
      </c>
      <c r="J7" s="83"/>
    </row>
    <row r="8">
      <c r="B8" s="28">
        <v>34.0</v>
      </c>
      <c r="C8" s="87">
        <v>8.25454141497761</v>
      </c>
      <c r="J8" s="83"/>
    </row>
    <row r="9">
      <c r="B9" s="28">
        <v>36.0</v>
      </c>
      <c r="C9" s="87">
        <v>8.02667698111775</v>
      </c>
      <c r="J9" s="83"/>
    </row>
    <row r="10">
      <c r="B10" s="28">
        <v>38.0</v>
      </c>
      <c r="C10" s="87">
        <v>6.81127620327142</v>
      </c>
      <c r="J10" s="83"/>
    </row>
    <row r="11">
      <c r="B11" s="28">
        <v>40.0</v>
      </c>
      <c r="C11" s="87">
        <v>6.72272609819694</v>
      </c>
    </row>
    <row r="12">
      <c r="B12" s="28">
        <v>42.0</v>
      </c>
      <c r="C12" s="87">
        <v>7.85254506910291</v>
      </c>
      <c r="J12" s="83"/>
    </row>
    <row r="13">
      <c r="A13" s="80" t="s">
        <v>188</v>
      </c>
      <c r="B13" s="28">
        <v>22.0</v>
      </c>
      <c r="C13" s="87">
        <v>8.20447634623581</v>
      </c>
      <c r="E13" s="28" t="s">
        <v>200</v>
      </c>
      <c r="F13" s="36">
        <f>SUM(C13:C23)/ROWS(13:23)</f>
        <v>7.427331572</v>
      </c>
      <c r="J13" s="83"/>
    </row>
    <row r="14">
      <c r="B14" s="28">
        <v>24.0</v>
      </c>
      <c r="C14" s="87">
        <v>7.24473495162792</v>
      </c>
    </row>
    <row r="15">
      <c r="B15" s="28">
        <v>26.0</v>
      </c>
      <c r="C15" s="87">
        <v>7.33865761068091</v>
      </c>
      <c r="J15" s="83"/>
    </row>
    <row r="16">
      <c r="B16" s="28">
        <v>28.0</v>
      </c>
      <c r="C16" s="87">
        <v>7.31839618600591</v>
      </c>
      <c r="J16" s="83"/>
    </row>
    <row r="17">
      <c r="B17" s="28">
        <v>30.0</v>
      </c>
      <c r="C17" s="87">
        <v>7.63817005441138</v>
      </c>
    </row>
    <row r="18">
      <c r="B18" s="28">
        <v>32.0</v>
      </c>
      <c r="C18" s="87">
        <v>6.57723844839986</v>
      </c>
    </row>
    <row r="19">
      <c r="B19" s="28">
        <v>34.0</v>
      </c>
      <c r="C19" s="87">
        <v>8.12762639049586</v>
      </c>
      <c r="D19" s="85"/>
    </row>
    <row r="20">
      <c r="B20" s="28">
        <v>36.0</v>
      </c>
      <c r="C20" s="87">
        <v>8.25714540976131</v>
      </c>
    </row>
    <row r="21">
      <c r="B21" s="28">
        <v>38.0</v>
      </c>
      <c r="C21" s="87">
        <v>6.2331425141747</v>
      </c>
    </row>
    <row r="22">
      <c r="B22" s="28">
        <v>40.0</v>
      </c>
      <c r="C22" s="87">
        <v>7.06625517365087</v>
      </c>
    </row>
    <row r="23">
      <c r="B23" s="28">
        <v>42.0</v>
      </c>
      <c r="C23" s="87">
        <v>7.69480420211758</v>
      </c>
    </row>
    <row r="24">
      <c r="A24" s="80" t="s">
        <v>190</v>
      </c>
      <c r="B24" s="28">
        <v>22.0</v>
      </c>
      <c r="C24" s="87">
        <v>7.68044594473169</v>
      </c>
      <c r="E24" s="28" t="s">
        <v>200</v>
      </c>
      <c r="F24" s="36">
        <f>SUM(C24:C34)/ROWS(13:23)</f>
        <v>7.297405384</v>
      </c>
    </row>
    <row r="25">
      <c r="B25" s="28">
        <v>24.0</v>
      </c>
      <c r="C25" s="87">
        <v>7.28166723721647</v>
      </c>
    </row>
    <row r="26">
      <c r="B26" s="28">
        <v>26.0</v>
      </c>
      <c r="C26" s="87">
        <v>7.54515325058549</v>
      </c>
    </row>
    <row r="27">
      <c r="B27" s="28">
        <v>28.0</v>
      </c>
      <c r="C27" s="87">
        <v>7.20488319595678</v>
      </c>
    </row>
    <row r="28">
      <c r="B28" s="28">
        <v>30.0</v>
      </c>
      <c r="C28" s="87">
        <v>7.6508986490126</v>
      </c>
      <c r="D28" s="85"/>
    </row>
    <row r="29">
      <c r="B29" s="28">
        <v>32.0</v>
      </c>
      <c r="C29" s="87">
        <v>5.86391626063283</v>
      </c>
    </row>
    <row r="30">
      <c r="B30" s="28">
        <v>34.0</v>
      </c>
      <c r="C30" s="87">
        <v>8.27204661784443</v>
      </c>
    </row>
    <row r="31">
      <c r="B31" s="28">
        <v>36.0</v>
      </c>
      <c r="C31" s="87">
        <v>8.2287501675656</v>
      </c>
    </row>
    <row r="32">
      <c r="B32" s="28">
        <v>38.0</v>
      </c>
      <c r="C32" s="87">
        <v>6.23914709866681</v>
      </c>
    </row>
    <row r="33">
      <c r="B33" s="28">
        <v>40.0</v>
      </c>
      <c r="C33" s="87">
        <v>6.72661756753128</v>
      </c>
    </row>
    <row r="34">
      <c r="B34" s="28">
        <v>42.0</v>
      </c>
      <c r="C34" s="87">
        <v>7.57793323196224</v>
      </c>
    </row>
    <row r="35">
      <c r="A35" s="80" t="s">
        <v>187</v>
      </c>
      <c r="B35" s="28">
        <v>22.0</v>
      </c>
      <c r="C35" s="87">
        <v>7.59644559329274</v>
      </c>
      <c r="E35" s="28" t="s">
        <v>200</v>
      </c>
      <c r="F35" s="36">
        <f>SUM(C35:C45)/ROWS(24:34)</f>
        <v>7.271345914</v>
      </c>
    </row>
    <row r="36">
      <c r="B36" s="28">
        <v>24.0</v>
      </c>
      <c r="C36" s="87">
        <v>7.2374900742422</v>
      </c>
    </row>
    <row r="37">
      <c r="B37" s="28">
        <v>26.0</v>
      </c>
      <c r="C37" s="87">
        <v>7.52868064087818</v>
      </c>
    </row>
    <row r="38">
      <c r="B38" s="28">
        <v>28.0</v>
      </c>
      <c r="C38" s="87">
        <v>7.19205005866294</v>
      </c>
    </row>
    <row r="39">
      <c r="B39" s="28">
        <v>30.0</v>
      </c>
      <c r="C39" s="87">
        <v>7.59368675639629</v>
      </c>
      <c r="D39" s="85"/>
    </row>
    <row r="40">
      <c r="B40" s="28">
        <v>32.0</v>
      </c>
      <c r="C40" s="87">
        <v>5.97091720466589</v>
      </c>
    </row>
    <row r="41">
      <c r="B41" s="28">
        <v>34.0</v>
      </c>
      <c r="C41" s="87">
        <v>8.25117197287836</v>
      </c>
    </row>
    <row r="42">
      <c r="B42" s="28">
        <v>36.0</v>
      </c>
      <c r="C42" s="87">
        <v>8.16732994866624</v>
      </c>
    </row>
    <row r="43">
      <c r="B43" s="28">
        <v>38.0</v>
      </c>
      <c r="C43" s="87">
        <v>6.21620836571776</v>
      </c>
    </row>
    <row r="44">
      <c r="B44" s="28">
        <v>40.0</v>
      </c>
      <c r="C44" s="87">
        <v>6.66015144479071</v>
      </c>
    </row>
    <row r="45">
      <c r="B45" s="28">
        <v>42.0</v>
      </c>
      <c r="C45" s="87">
        <v>7.57067299587939</v>
      </c>
    </row>
    <row r="46">
      <c r="A46" s="80" t="s">
        <v>186</v>
      </c>
      <c r="B46" s="28">
        <v>22.0</v>
      </c>
      <c r="C46" s="87">
        <v>7.56343348280836</v>
      </c>
      <c r="E46" s="28" t="s">
        <v>200</v>
      </c>
      <c r="F46" s="36">
        <f>SUM(C46:C56)/ROWS(35:45)</f>
        <v>7.542718572</v>
      </c>
    </row>
    <row r="47">
      <c r="B47" s="28">
        <v>24.0</v>
      </c>
      <c r="C47" s="87">
        <v>8.22652750548832</v>
      </c>
    </row>
    <row r="48">
      <c r="B48" s="28">
        <v>26.0</v>
      </c>
      <c r="C48" s="87">
        <v>8.03079010144125</v>
      </c>
      <c r="D48" s="85"/>
    </row>
    <row r="49">
      <c r="B49" s="28">
        <v>28.0</v>
      </c>
      <c r="C49" s="87">
        <v>7.48636940574505</v>
      </c>
    </row>
    <row r="50">
      <c r="B50" s="28">
        <v>30.0</v>
      </c>
      <c r="C50" s="87">
        <v>7.30169309826072</v>
      </c>
    </row>
    <row r="51">
      <c r="B51" s="28">
        <v>32.0</v>
      </c>
      <c r="C51" s="87">
        <v>5.24380960073423</v>
      </c>
    </row>
    <row r="52">
      <c r="B52" s="28">
        <v>34.0</v>
      </c>
      <c r="C52" s="87">
        <v>8.50972058453011</v>
      </c>
    </row>
    <row r="53">
      <c r="B53" s="28">
        <v>36.0</v>
      </c>
      <c r="C53" s="87">
        <v>8.10230429829291</v>
      </c>
    </row>
    <row r="54">
      <c r="B54" s="28">
        <v>38.0</v>
      </c>
      <c r="C54" s="87">
        <v>6.3258311675426</v>
      </c>
    </row>
    <row r="55">
      <c r="B55" s="28">
        <v>40.0</v>
      </c>
      <c r="C55" s="87">
        <v>8.43095161387909</v>
      </c>
    </row>
    <row r="56">
      <c r="B56" s="28">
        <v>42.0</v>
      </c>
      <c r="C56" s="87">
        <v>7.74847343708545</v>
      </c>
    </row>
    <row r="57">
      <c r="A57" s="80" t="s">
        <v>189</v>
      </c>
      <c r="B57" s="28">
        <v>22.0</v>
      </c>
      <c r="C57" s="87">
        <v>7.7285976344447</v>
      </c>
      <c r="E57" s="28" t="s">
        <v>200</v>
      </c>
      <c r="F57" s="36">
        <f>SUM(C57:C67)/ROWS(46:56)</f>
        <v>7.428098647</v>
      </c>
    </row>
    <row r="58">
      <c r="B58" s="28">
        <v>24.0</v>
      </c>
      <c r="C58" s="87">
        <v>8.24788411040976</v>
      </c>
    </row>
    <row r="59">
      <c r="B59" s="28">
        <v>26.0</v>
      </c>
      <c r="C59" s="87">
        <v>7.66208611365762</v>
      </c>
    </row>
    <row r="60">
      <c r="B60" s="28">
        <v>28.0</v>
      </c>
      <c r="C60" s="87">
        <v>7.07482249548574</v>
      </c>
    </row>
    <row r="61">
      <c r="B61" s="28">
        <v>30.0</v>
      </c>
      <c r="C61" s="87">
        <v>7.68378044638242</v>
      </c>
    </row>
    <row r="62">
      <c r="B62" s="28">
        <v>32.0</v>
      </c>
      <c r="C62" s="87">
        <v>6.03672711109845</v>
      </c>
      <c r="D62" s="85"/>
    </row>
    <row r="63">
      <c r="B63" s="28">
        <v>34.0</v>
      </c>
      <c r="C63" s="87">
        <v>7.90417707665164</v>
      </c>
    </row>
    <row r="64">
      <c r="B64" s="28">
        <v>36.0</v>
      </c>
      <c r="C64" s="87">
        <v>7.91356598230753</v>
      </c>
    </row>
    <row r="65">
      <c r="B65" s="28">
        <v>38.0</v>
      </c>
      <c r="C65" s="87">
        <v>6.1076418751254</v>
      </c>
      <c r="D65" s="85"/>
    </row>
    <row r="66">
      <c r="B66" s="28">
        <v>40.0</v>
      </c>
      <c r="C66" s="87">
        <v>7.43688332497384</v>
      </c>
    </row>
    <row r="67">
      <c r="B67" s="28">
        <v>42.0</v>
      </c>
      <c r="C67" s="87">
        <v>7.9129189431238</v>
      </c>
    </row>
    <row r="68">
      <c r="A68" s="80" t="s">
        <v>192</v>
      </c>
      <c r="B68" s="28">
        <v>22.0</v>
      </c>
      <c r="C68" s="87">
        <v>7.56382857142857</v>
      </c>
      <c r="E68" s="28" t="s">
        <v>200</v>
      </c>
      <c r="F68" s="36">
        <f>SUM(C68:C78)/ROWS(57:67)</f>
        <v>7.63662925</v>
      </c>
    </row>
    <row r="69">
      <c r="B69" s="28">
        <v>24.0</v>
      </c>
      <c r="C69" s="87">
        <v>7.2863841544808</v>
      </c>
    </row>
    <row r="70">
      <c r="B70" s="28">
        <v>26.0</v>
      </c>
      <c r="C70" s="87">
        <v>7.95181008763717</v>
      </c>
    </row>
    <row r="71">
      <c r="B71" s="28">
        <v>28.0</v>
      </c>
      <c r="C71" s="87">
        <v>7.89666666666666</v>
      </c>
    </row>
    <row r="72">
      <c r="B72" s="28">
        <v>30.0</v>
      </c>
      <c r="C72" s="87">
        <v>8.29087617055599</v>
      </c>
    </row>
    <row r="73">
      <c r="B73" s="28">
        <v>32.0</v>
      </c>
      <c r="C73" s="87">
        <v>7.07580952380952</v>
      </c>
    </row>
    <row r="74">
      <c r="B74" s="28">
        <v>34.0</v>
      </c>
      <c r="C74" s="87">
        <v>7.55214444458741</v>
      </c>
    </row>
    <row r="75">
      <c r="B75" s="28">
        <v>36.0</v>
      </c>
      <c r="C75" s="87">
        <v>7.77068506768363</v>
      </c>
    </row>
    <row r="76">
      <c r="B76" s="28">
        <v>38.0</v>
      </c>
      <c r="C76" s="87">
        <v>6.668282123244</v>
      </c>
    </row>
    <row r="77">
      <c r="B77" s="28">
        <v>40.0</v>
      </c>
      <c r="C77" s="87">
        <v>7.99578231292516</v>
      </c>
    </row>
    <row r="78">
      <c r="B78" s="28">
        <v>42.0</v>
      </c>
      <c r="C78" s="87">
        <v>7.95065262151342</v>
      </c>
    </row>
  </sheetData>
  <mergeCells count="7">
    <mergeCell ref="A2:A12"/>
    <mergeCell ref="A13:A23"/>
    <mergeCell ref="A24:A34"/>
    <mergeCell ref="A35:A45"/>
    <mergeCell ref="A46:A56"/>
    <mergeCell ref="A57:A67"/>
    <mergeCell ref="A68:A78"/>
  </mergeCells>
  <drawing r:id="rId1"/>
</worksheet>
</file>